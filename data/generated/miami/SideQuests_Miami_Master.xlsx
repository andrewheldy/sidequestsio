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shboard" sheetId="1" state="visible" r:id="rId1"/>
    <sheet xmlns:r="http://schemas.openxmlformats.org/officeDocument/2006/relationships" name="Partners" sheetId="2" state="visible" r:id="rId2"/>
    <sheet xmlns:r="http://schemas.openxmlformats.org/officeDocument/2006/relationships" name="Venues" sheetId="3" state="visible" r:id="rId3"/>
    <sheet xmlns:r="http://schemas.openxmlformats.org/officeDocument/2006/relationships" name="Quests" sheetId="4" state="visible" r:id="rId4"/>
    <sheet xmlns:r="http://schemas.openxmlformats.org/officeDocument/2006/relationships" name="Asset Pipeline" sheetId="5" state="visible" r:id="rId5"/>
    <sheet xmlns:r="http://schemas.openxmlformats.org/officeDocument/2006/relationships" name="CRM" sheetId="6" state="visible" r:id="rId6"/>
    <sheet xmlns:r="http://schemas.openxmlformats.org/officeDocument/2006/relationships" name="Launch Readiness" sheetId="7" state="visible" r:id="rId7"/>
    <sheet xmlns:r="http://schemas.openxmlformats.org/officeDocument/2006/relationships" name="Executive Dashboard" sheetId="8" state="visible" r:id="rId8"/>
    <sheet xmlns:r="http://schemas.openxmlformats.org/officeDocument/2006/relationships" name="Operations View" sheetId="9" state="visible" r:id="rId9"/>
  </sheets>
  <definedNames>
    <definedName name="_xlnm._FilterDatabase" localSheetId="0" hidden="1">'Master Dashboard'!$A$3:$AI$65</definedName>
    <definedName name="_xlnm._FilterDatabase" localSheetId="1" hidden="1">'Partners'!$A$3:$L$65</definedName>
    <definedName name="_xlnm._FilterDatabase" localSheetId="2" hidden="1">'Venues'!$A$3:$Q$65</definedName>
    <definedName name="_xlnm._FilterDatabase" localSheetId="3" hidden="1">'Quests'!$A$3:$Y$65</definedName>
    <definedName name="_xlnm._FilterDatabase" localSheetId="4" hidden="1">'Asset Pipeline'!$A$3:$O$127</definedName>
    <definedName name="_xlnm._FilterDatabase" localSheetId="5" hidden="1">'CRM'!$A$3:$AK$67</definedName>
    <definedName name="_xlnm._FilterDatabase" localSheetId="8" hidden="1">'Operations View'!$A$3:$R$67</definedName>
  </definedNames>
  <calcPr calcId="124519" fullCalcOnLoad="1"/>
</workbook>
</file>

<file path=xl/styles.xml><?xml version="1.0" encoding="utf-8"?>
<styleSheet xmlns="http://schemas.openxmlformats.org/spreadsheetml/2006/main">
  <numFmts count="1">
    <numFmt numFmtId="164" formatCode="0.000000"/>
  </numFmts>
  <fonts count="28">
    <font>
      <name val="Calibri"/>
      <family val="2"/>
      <color theme="1"/>
      <sz val="11"/>
      <scheme val="minor"/>
    </font>
    <font>
      <b val="1"/>
      <i val="1"/>
      <color rgb="00595959"/>
      <sz val="11"/>
    </font>
    <font>
      <b val="1"/>
      <color rgb="00FFFFFF"/>
      <sz val="10"/>
    </font>
    <font>
      <b val="1"/>
      <color rgb="00006100"/>
    </font>
    <font>
      <color rgb="000563C1"/>
      <u val="single"/>
    </font>
    <font>
      <b val="1"/>
      <color rgb="009C5700"/>
    </font>
    <font>
      <b val="1"/>
      <color rgb="009C6500"/>
    </font>
    <font>
      <b val="1"/>
      <color rgb="009C0006"/>
    </font>
    <font>
      <b val="1"/>
      <color rgb="001F4E78"/>
    </font>
    <font>
      <b val="1"/>
      <color rgb="003B3B3B"/>
    </font>
    <font>
      <b val="1"/>
      <color rgb="001F4E78"/>
      <sz val="16"/>
    </font>
    <font>
      <i val="1"/>
      <color rgb="00595959"/>
      <sz val="9"/>
    </font>
    <font>
      <b val="1"/>
      <color rgb="00FFFFFF"/>
      <sz val="12"/>
    </font>
    <font>
      <sz val="10"/>
    </font>
    <font>
      <b val="1"/>
      <sz val="11"/>
    </font>
    <font>
      <b val="1"/>
      <sz val="13"/>
    </font>
    <font>
      <b val="1"/>
      <sz val="16"/>
    </font>
    <font>
      <b val="1"/>
      <color rgb="001F4E78"/>
      <sz val="17"/>
    </font>
    <font>
      <b val="1"/>
      <color rgb="0044546A"/>
      <sz val="9"/>
    </font>
    <font>
      <b val="1"/>
      <color rgb="001F4E78"/>
      <sz val="22"/>
    </font>
    <font>
      <i val="1"/>
      <color rgb="007F7F7F"/>
      <sz val="7.5"/>
    </font>
    <font>
      <b val="1"/>
      <sz val="10"/>
    </font>
    <font>
      <sz val="9"/>
    </font>
    <font>
      <sz val="9.5"/>
    </font>
    <font>
      <b val="1"/>
      <color rgb="009C0006"/>
      <sz val="11"/>
    </font>
    <font>
      <color rgb="000563C1"/>
      <sz val="9"/>
      <u val="single"/>
    </font>
    <font>
      <i val="1"/>
      <color rgb="007F7F7F"/>
      <sz val="8"/>
    </font>
    <font>
      <b val="1"/>
      <sz val="24"/>
    </font>
  </fonts>
  <fills count="14">
    <fill>
      <patternFill/>
    </fill>
    <fill>
      <patternFill patternType="gray125"/>
    </fill>
    <fill>
      <patternFill patternType="solid">
        <fgColor rgb="00808080"/>
      </patternFill>
    </fill>
    <fill>
      <patternFill patternType="solid">
        <fgColor rgb="008064A2"/>
      </patternFill>
    </fill>
    <fill>
      <patternFill patternType="solid">
        <fgColor rgb="002F3B52"/>
      </patternFill>
    </fill>
    <fill>
      <patternFill patternType="solid">
        <fgColor rgb="004F81BD"/>
      </patternFill>
    </fill>
    <fill>
      <patternFill patternType="solid">
        <fgColor rgb="00C6EFCE"/>
      </patternFill>
    </fill>
    <fill>
      <patternFill patternType="solid">
        <fgColor rgb="00FCD9B6"/>
      </patternFill>
    </fill>
    <fill>
      <patternFill patternType="solid">
        <fgColor rgb="00F2F2F2"/>
      </patternFill>
    </fill>
    <fill>
      <patternFill patternType="solid">
        <fgColor rgb="00FFEB9C"/>
      </patternFill>
    </fill>
    <fill>
      <patternFill patternType="solid">
        <fgColor rgb="00FFC7CE"/>
      </patternFill>
    </fill>
    <fill>
      <patternFill patternType="solid">
        <fgColor rgb="00DCE6F1"/>
      </patternFill>
    </fill>
    <fill>
      <patternFill patternType="solid">
        <fgColor rgb="00D9D9D9"/>
      </patternFill>
    </fill>
    <fill>
      <patternFill patternType="solid">
        <fgColor rgb="00EDEFF3"/>
      </patternFill>
    </fill>
  </fills>
  <borders count="10">
    <border>
      <left/>
      <right/>
      <top/>
      <bottom/>
      <diagonal/>
    </border>
    <border>
      <left style="thin">
        <color rgb="00BFBFBF"/>
      </left>
      <right style="thin">
        <color rgb="00BFBFBF"/>
      </right>
      <top style="thin">
        <color rgb="00BFBFBF"/>
      </top>
      <bottom style="thin">
        <color rgb="00BFBFBF"/>
      </bottom>
    </border>
    <border>
      <left/>
      <right/>
      <top style="medium">
        <color rgb="00BFBFBF"/>
      </top>
      <bottom/>
    </border>
    <border>
      <left/>
      <right/>
      <top/>
      <bottom style="medium">
        <color rgb="00BFBFBF"/>
      </bottom>
    </border>
    <border>
      <left style="medium">
        <color rgb="00BFBFBF"/>
      </left>
      <right/>
      <top style="medium">
        <color rgb="00BFBFBF"/>
      </top>
      <bottom/>
    </border>
    <border>
      <left/>
      <right style="medium">
        <color rgb="00BFBFBF"/>
      </right>
      <top style="medium">
        <color rgb="00BFBFBF"/>
      </top>
      <bottom/>
    </border>
    <border>
      <left style="medium">
        <color rgb="00BFBFBF"/>
      </left>
      <right/>
      <top/>
      <bottom/>
    </border>
    <border>
      <left/>
      <right style="medium">
        <color rgb="00BFBFBF"/>
      </right>
      <top/>
      <bottom/>
    </border>
    <border>
      <left style="medium">
        <color rgb="00BFBFBF"/>
      </left>
      <right/>
      <top/>
      <bottom style="medium">
        <color rgb="00BFBFBF"/>
      </bottom>
    </border>
    <border>
      <left/>
      <right style="medium">
        <color rgb="00BFBFBF"/>
      </right>
      <top/>
      <bottom style="medium">
        <color rgb="00BFBFBF"/>
      </bottom>
    </border>
  </borders>
  <cellStyleXfs count="1">
    <xf numFmtId="0" fontId="0" fillId="0" borderId="0"/>
  </cellStyleXfs>
  <cellXfs count="69">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0" fillId="0" borderId="1" applyAlignment="1" pivotButton="0" quotePrefix="0" xfId="0">
      <alignment vertical="top"/>
    </xf>
    <xf numFmtId="0" fontId="3" fillId="6" borderId="1" applyAlignment="1" pivotButton="0" quotePrefix="0" xfId="0">
      <alignment vertical="top"/>
    </xf>
    <xf numFmtId="164" fontId="0" fillId="0" borderId="1" applyAlignment="1" pivotButton="0" quotePrefix="0" xfId="0">
      <alignment vertical="top"/>
    </xf>
    <xf numFmtId="0" fontId="4" fillId="0" borderId="1" applyAlignment="1" pivotButton="0" quotePrefix="0" xfId="0">
      <alignment vertical="top"/>
    </xf>
    <xf numFmtId="1" fontId="0" fillId="0" borderId="1" applyAlignment="1" pivotButton="0" quotePrefix="0" xfId="0">
      <alignment vertical="top"/>
    </xf>
    <xf numFmtId="0" fontId="0" fillId="0" borderId="1" applyAlignment="1" pivotButton="0" quotePrefix="0" xfId="0">
      <alignment vertical="top" wrapText="1"/>
    </xf>
    <xf numFmtId="0" fontId="5" fillId="7" borderId="1" applyAlignment="1" pivotButton="0" quotePrefix="0" xfId="0">
      <alignment vertical="top"/>
    </xf>
    <xf numFmtId="0" fontId="0" fillId="8" borderId="1" applyAlignment="1" pivotButton="0" quotePrefix="0" xfId="0">
      <alignment vertical="top"/>
    </xf>
    <xf numFmtId="164" fontId="0" fillId="8" borderId="1" applyAlignment="1" pivotButton="0" quotePrefix="0" xfId="0">
      <alignment vertical="top"/>
    </xf>
    <xf numFmtId="0" fontId="4" fillId="8" borderId="1" applyAlignment="1" pivotButton="0" quotePrefix="0" xfId="0">
      <alignment vertical="top"/>
    </xf>
    <xf numFmtId="1" fontId="0" fillId="8" borderId="1" applyAlignment="1" pivotButton="0" quotePrefix="0" xfId="0">
      <alignment vertical="top"/>
    </xf>
    <xf numFmtId="0" fontId="0" fillId="8" borderId="1" applyAlignment="1" pivotButton="0" quotePrefix="0" xfId="0">
      <alignment vertical="top" wrapText="1"/>
    </xf>
    <xf numFmtId="0" fontId="6" fillId="9" borderId="1" applyAlignment="1" pivotButton="0" quotePrefix="0" xfId="0">
      <alignment vertical="top"/>
    </xf>
    <xf numFmtId="0" fontId="7" fillId="10" borderId="1" applyAlignment="1" pivotButton="0" quotePrefix="0" xfId="0">
      <alignment vertical="top"/>
    </xf>
    <xf numFmtId="0" fontId="10" fillId="0" borderId="0" pivotButton="0" quotePrefix="0" xfId="0"/>
    <xf numFmtId="0" fontId="11" fillId="0" borderId="0" pivotButton="0" quotePrefix="0" xfId="0"/>
    <xf numFmtId="0" fontId="12" fillId="4" borderId="0" applyAlignment="1" pivotButton="0" quotePrefix="0" xfId="0">
      <alignment horizontal="left" vertical="center" indent="1"/>
    </xf>
    <xf numFmtId="0" fontId="13" fillId="8" borderId="1" pivotButton="0" quotePrefix="0" xfId="0"/>
    <xf numFmtId="0" fontId="14" fillId="8" borderId="1" applyAlignment="1" pivotButton="0" quotePrefix="0" xfId="0">
      <alignment horizontal="center"/>
    </xf>
    <xf numFmtId="0" fontId="11" fillId="8" borderId="1" pivotButton="0" quotePrefix="0" xfId="0"/>
    <xf numFmtId="0" fontId="13" fillId="0" borderId="1" pivotButton="0" quotePrefix="0" xfId="0"/>
    <xf numFmtId="0" fontId="14" fillId="0" borderId="1" applyAlignment="1" pivotButton="0" quotePrefix="0" xfId="0">
      <alignment horizontal="center"/>
    </xf>
    <xf numFmtId="0" fontId="11" fillId="0" borderId="1" pivotButton="0" quotePrefix="0" xfId="0"/>
    <xf numFmtId="9" fontId="14" fillId="0" borderId="1" applyAlignment="1" pivotButton="0" quotePrefix="0" xfId="0">
      <alignment horizontal="center"/>
    </xf>
    <xf numFmtId="9" fontId="14" fillId="8" borderId="1" applyAlignment="1" pivotButton="0" quotePrefix="0" xfId="0">
      <alignment horizontal="center"/>
    </xf>
    <xf numFmtId="0" fontId="15" fillId="0" borderId="0" pivotButton="0" quotePrefix="0" xfId="0"/>
    <xf numFmtId="9" fontId="16" fillId="0" borderId="0" applyAlignment="1" pivotButton="0" quotePrefix="0" xfId="0">
      <alignment horizontal="center"/>
    </xf>
    <xf numFmtId="0" fontId="17" fillId="0" borderId="0" pivotButton="0" quotePrefix="0" xfId="0"/>
    <xf numFmtId="0" fontId="12" fillId="4" borderId="0" applyAlignment="1" pivotButton="0" quotePrefix="0" xfId="0">
      <alignment vertical="center" indent="1"/>
    </xf>
    <xf numFmtId="0" fontId="18" fillId="13" borderId="4" applyAlignment="1" pivotButton="0" quotePrefix="0" xfId="0">
      <alignment horizontal="center" wrapText="1"/>
    </xf>
    <xf numFmtId="0" fontId="0" fillId="13" borderId="2" pivotButton="0" quotePrefix="0" xfId="0"/>
    <xf numFmtId="0" fontId="0" fillId="13" borderId="5" pivotButton="0" quotePrefix="0" xfId="0"/>
    <xf numFmtId="0" fontId="19" fillId="13" borderId="6" applyAlignment="1" pivotButton="0" quotePrefix="0" xfId="0">
      <alignment horizontal="center" vertical="center"/>
    </xf>
    <xf numFmtId="0" fontId="0" fillId="13" borderId="0" pivotButton="0" quotePrefix="0" xfId="0"/>
    <xf numFmtId="0" fontId="0" fillId="13" borderId="7" pivotButton="0" quotePrefix="0" xfId="0"/>
    <xf numFmtId="0" fontId="0" fillId="13" borderId="8" pivotButton="0" quotePrefix="0" xfId="0"/>
    <xf numFmtId="0" fontId="0" fillId="13" borderId="3" pivotButton="0" quotePrefix="0" xfId="0"/>
    <xf numFmtId="0" fontId="0" fillId="13" borderId="9" pivotButton="0" quotePrefix="0" xfId="0"/>
    <xf numFmtId="0" fontId="0" fillId="13" borderId="6" pivotButton="0" quotePrefix="0" xfId="0"/>
    <xf numFmtId="0" fontId="20" fillId="13" borderId="8" applyAlignment="1" pivotButton="0" quotePrefix="0" xfId="0">
      <alignment horizontal="center" wrapText="1"/>
    </xf>
    <xf numFmtId="0" fontId="13" fillId="0" borderId="0" pivotButton="0" quotePrefix="0" xfId="0"/>
    <xf numFmtId="9" fontId="0" fillId="0" borderId="0" pivotButton="0" quotePrefix="0" xfId="0"/>
    <xf numFmtId="0" fontId="21" fillId="0" borderId="0" pivotButton="0" quotePrefix="0" xfId="0"/>
    <xf numFmtId="0" fontId="22" fillId="0" borderId="1" pivotButton="0" quotePrefix="0" xfId="0"/>
    <xf numFmtId="0" fontId="0" fillId="0" borderId="1" applyAlignment="1" pivotButton="0" quotePrefix="0" xfId="0">
      <alignment horizontal="center"/>
    </xf>
    <xf numFmtId="0" fontId="22" fillId="8" borderId="1" pivotButton="0" quotePrefix="0" xfId="0"/>
    <xf numFmtId="0" fontId="0" fillId="8" borderId="1" applyAlignment="1" pivotButton="0" quotePrefix="0" xfId="0">
      <alignment horizontal="center"/>
    </xf>
    <xf numFmtId="0" fontId="23" fillId="0" borderId="0" pivotButton="0" quotePrefix="0" xfId="0"/>
    <xf numFmtId="0" fontId="24" fillId="0" borderId="0" applyAlignment="1" pivotButton="0" quotePrefix="0" xfId="0">
      <alignment horizontal="center"/>
    </xf>
    <xf numFmtId="0" fontId="25" fillId="0" borderId="0" pivotButton="0" quotePrefix="0" xfId="0"/>
    <xf numFmtId="0" fontId="26" fillId="0" borderId="0" pivotButton="0" quotePrefix="0" xfId="0"/>
    <xf numFmtId="0" fontId="15" fillId="0" borderId="0" applyAlignment="1" pivotButton="0" quotePrefix="0" xfId="0">
      <alignment horizontal="center"/>
    </xf>
    <xf numFmtId="0" fontId="27" fillId="0" borderId="4" applyAlignment="1" pivotButton="0" quotePrefix="0" xfId="0">
      <alignment horizontal="center" vertical="center"/>
    </xf>
    <xf numFmtId="0" fontId="0" fillId="0" borderId="2" pivotButton="0" quotePrefix="0" xfId="0"/>
    <xf numFmtId="0" fontId="0" fillId="0" borderId="5" pivotButton="0" quotePrefix="0" xfId="0"/>
    <xf numFmtId="0" fontId="11" fillId="0" borderId="0" applyAlignment="1" pivotButton="0" quotePrefix="0" xfId="0">
      <alignment vertical="center" wrapText="1"/>
    </xf>
    <xf numFmtId="0" fontId="0" fillId="0" borderId="6" pivotButton="0" quotePrefix="0" xfId="0"/>
    <xf numFmtId="0" fontId="0" fillId="0" borderId="7" pivotButton="0" quotePrefix="0" xfId="0"/>
    <xf numFmtId="0" fontId="0" fillId="0" borderId="8" pivotButton="0" quotePrefix="0" xfId="0"/>
    <xf numFmtId="0" fontId="0" fillId="0" borderId="3" pivotButton="0" quotePrefix="0" xfId="0"/>
    <xf numFmtId="0" fontId="0" fillId="0" borderId="9" pivotButton="0" quotePrefix="0" xfId="0"/>
    <xf numFmtId="0" fontId="8" fillId="11" borderId="1" applyAlignment="1" pivotButton="0" quotePrefix="0" xfId="0">
      <alignment vertical="top"/>
    </xf>
    <xf numFmtId="0" fontId="9" fillId="12" borderId="1" applyAlignment="1" pivotButton="0" quotePrefix="0" xfId="0">
      <alignment vertical="top"/>
    </xf>
  </cellXfs>
  <cellStyles count="1">
    <cellStyle name="Normal" xfId="0" builtinId="0" hidden="0"/>
  </cellStyles>
  <dxfs count="4">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FCD9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Venues by Neighborhood</a:t>
            </a:r>
          </a:p>
        </rich>
      </tx>
    </title>
    <plotArea>
      <barChart>
        <barDir val="bar"/>
        <grouping val="clustered"/>
        <ser>
          <idx val="0"/>
          <order val="0"/>
          <tx>
            <strRef>
              <f>'Executive Dashboard'!B21</f>
            </strRef>
          </tx>
          <spPr>
            <a:ln xmlns:a="http://schemas.openxmlformats.org/drawingml/2006/main">
              <a:prstDash val="solid"/>
            </a:ln>
          </spPr>
          <cat>
            <numRef>
              <f>'Executive Dashboard'!$A$22:$A$43</f>
            </numRef>
          </cat>
          <val>
            <numRef>
              <f>'Executive Dashboard'!$B$22:$B$43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20</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maps/search/?api=1&amp;query=25.7987088,-80.214203" TargetMode="External" Id="rId1"/><Relationship Type="http://schemas.openxmlformats.org/officeDocument/2006/relationships/hyperlink" Target="https://rubellmuseum.org/" TargetMode="External" Id="rId2"/><Relationship Type="http://schemas.openxmlformats.org/officeDocument/2006/relationships/hyperlink" Target="https://www.google.com/search?q=Rubell+Museum+Miami+reviews" TargetMode="External" Id="rId3"/><Relationship Type="http://schemas.openxmlformats.org/officeDocument/2006/relationships/hyperlink" Target="https://www.instagram.com/rubellmuseum/" TargetMode="External" Id="rId4"/><Relationship Type="http://schemas.openxmlformats.org/officeDocument/2006/relationships/hyperlink" Target="https://www.google.com/maps/search/?api=1&amp;query=25.7991925,-80.2138844" TargetMode="External" Id="rId5"/><Relationship Type="http://schemas.openxmlformats.org/officeDocument/2006/relationships/hyperlink" Target="https://www.superblue.com/" TargetMode="External" Id="rId6"/><Relationship Type="http://schemas.openxmlformats.org/officeDocument/2006/relationships/hyperlink" Target="https://www.yelp.com/biz/superblue-miami-miami-2" TargetMode="External" Id="rId7"/><Relationship Type="http://schemas.openxmlformats.org/officeDocument/2006/relationships/hyperlink" Target="https://www.instagram.com/superbluemiami/" TargetMode="External" Id="rId8"/><Relationship Type="http://schemas.openxmlformats.org/officeDocument/2006/relationships/hyperlink" Target="https://www.google.com/maps/search/?api=1&amp;query=25.79175,-80.149086" TargetMode="External" Id="rId9"/><Relationship Type="http://schemas.openxmlformats.org/officeDocument/2006/relationships/hyperlink" Target="https://www.standardhotels.com/miami/properties/miami-beach" TargetMode="External" Id="rId10"/><Relationship Type="http://schemas.openxmlformats.org/officeDocument/2006/relationships/hyperlink" Target="https://www.yelp.com/biz/the-standard-spa-hotel-miami-beach" TargetMode="External" Id="rId11"/><Relationship Type="http://schemas.openxmlformats.org/officeDocument/2006/relationships/hyperlink" Target="https://www.instagram.com/thestandardmiami/" TargetMode="External" Id="rId12"/><Relationship Type="http://schemas.openxmlformats.org/officeDocument/2006/relationships/hyperlink" Target="https://www.google.com/maps/search/?api=1&amp;query=25.7676777,-80.1930011" TargetMode="External" Id="rId13"/><Relationship Type="http://schemas.openxmlformats.org/officeDocument/2006/relationships/hyperlink" Target="https://brickellcitycentre.com/" TargetMode="External" Id="rId14"/><Relationship Type="http://schemas.openxmlformats.org/officeDocument/2006/relationships/hyperlink" Target="https://www.google.com/search?q=Brickell+City+Centre+Miami+reviews" TargetMode="External" Id="rId15"/><Relationship Type="http://schemas.openxmlformats.org/officeDocument/2006/relationships/hyperlink" Target="https://www.instagram.com/brickellcitycentre/" TargetMode="External" Id="rId16"/><Relationship Type="http://schemas.openxmlformats.org/officeDocument/2006/relationships/hyperlink" Target="https://www.google.com/maps/search/?api=1&amp;query=25.7656196,-80.1901639" TargetMode="External" Id="rId17"/><Relationship Type="http://schemas.openxmlformats.org/officeDocument/2006/relationships/hyperlink" Target="https://komodomiami.com/" TargetMode="External" Id="rId18"/><Relationship Type="http://schemas.openxmlformats.org/officeDocument/2006/relationships/hyperlink" Target="https://www.google.com/search?q=Komodo+Miami+Brickell+reviews" TargetMode="External" Id="rId19"/><Relationship Type="http://schemas.openxmlformats.org/officeDocument/2006/relationships/hyperlink" Target="https://www.instagram.com/komodomiami/" TargetMode="External" Id="rId20"/><Relationship Type="http://schemas.openxmlformats.org/officeDocument/2006/relationships/hyperlink" Target="https://www.google.com/maps/search/?api=1&amp;query=25.769381,-80.189919" TargetMode="External" Id="rId21"/><Relationship Type="http://schemas.openxmlformats.org/officeDocument/2006/relationships/hyperlink" Target="https://dos.fl.gov/historical/archaeology/projects/miami-circle/" TargetMode="External" Id="rId22"/><Relationship Type="http://schemas.openxmlformats.org/officeDocument/2006/relationships/hyperlink" Target="https://www.google.com/search?q=Miami+Circle+Park+Brickell+reviews" TargetMode="External" Id="rId23"/><Relationship Type="http://schemas.openxmlformats.org/officeDocument/2006/relationships/hyperlink" Target="https://www.google.com/maps/search/?api=1&amp;query=25.7651768,-80.1908292" TargetMode="External" Id="rId24"/><Relationship Type="http://schemas.openxmlformats.org/officeDocument/2006/relationships/hyperlink" Target="https://www.pasiondelcielo.com/" TargetMode="External" Id="rId25"/><Relationship Type="http://schemas.openxmlformats.org/officeDocument/2006/relationships/hyperlink" Target="https://www.google.com/maps/search/?api=1&amp;query=Pasion+del+Cielo+Coffee+907+Brickell+Ave+Miami+FL" TargetMode="External" Id="rId26"/><Relationship Type="http://schemas.openxmlformats.org/officeDocument/2006/relationships/hyperlink" Target="https://www.instagram.com/pasiondelcielocoffee/" TargetMode="External" Id="rId27"/><Relationship Type="http://schemas.openxmlformats.org/officeDocument/2006/relationships/hyperlink" Target="https://www.google.com/maps/search/?api=1&amp;query=25.7643527,-80.1930513" TargetMode="External" Id="rId28"/><Relationship Type="http://schemas.openxmlformats.org/officeDocument/2006/relationships/hyperlink" Target="https://sexyfishmiami.com/" TargetMode="External" Id="rId29"/><Relationship Type="http://schemas.openxmlformats.org/officeDocument/2006/relationships/hyperlink" Target="https://www.google.com/search?q=Sexy+Fish+Miami+reviews" TargetMode="External" Id="rId30"/><Relationship Type="http://schemas.openxmlformats.org/officeDocument/2006/relationships/hyperlink" Target="https://www.instagram.com/sexyfishmiami/" TargetMode="External" Id="rId31"/><Relationship Type="http://schemas.openxmlformats.org/officeDocument/2006/relationships/hyperlink" Target="https://www.google.com/maps/search/?api=1&amp;query=25.766606,-80.1928702" TargetMode="External" Id="rId32"/><Relationship Type="http://schemas.openxmlformats.org/officeDocument/2006/relationships/hyperlink" Target="https://www.easthotels.com/en/miami/restaurants-and-bars/sugar/" TargetMode="External" Id="rId33"/><Relationship Type="http://schemas.openxmlformats.org/officeDocument/2006/relationships/hyperlink" Target="https://www.yelp.com/biz/sugar-miami-2" TargetMode="External" Id="rId34"/><Relationship Type="http://schemas.openxmlformats.org/officeDocument/2006/relationships/hyperlink" Target="https://www.instagram.com/sugar.rooftop/" TargetMode="External" Id="rId35"/><Relationship Type="http://schemas.openxmlformats.org/officeDocument/2006/relationships/hyperlink" Target="https://www.google.com/maps/search/?api=1&amp;query=25.7666577,-80.1927661" TargetMode="External" Id="rId36"/><Relationship Type="http://schemas.openxmlformats.org/officeDocument/2006/relationships/hyperlink" Target="https://www.easthotels.com/en/miami/restaurants-and-bars/tea-room/" TargetMode="External" Id="rId37"/><Relationship Type="http://schemas.openxmlformats.org/officeDocument/2006/relationships/hyperlink" Target="https://www.google.com/search?q=Tea+Room+EAST+Miami+788+Brickell+Plaza+reviews" TargetMode="External" Id="rId38"/><Relationship Type="http://schemas.openxmlformats.org/officeDocument/2006/relationships/hyperlink" Target="https://www.instagram.com/tearoom.mia/" TargetMode="External" Id="rId39"/><Relationship Type="http://schemas.openxmlformats.org/officeDocument/2006/relationships/hyperlink" Target="https://www.google.com/maps/search/?api=1&amp;query=25.727493,-80.243396" TargetMode="External" Id="rId40"/><Relationship Type="http://schemas.openxmlformats.org/officeDocument/2006/relationships/hyperlink" Target="https://www.midoriemiami.com/" TargetMode="External" Id="rId41"/><Relationship Type="http://schemas.openxmlformats.org/officeDocument/2006/relationships/hyperlink" Target="https://www.google.com/maps/search/?api=1&amp;query=Midorie+Miami+3444+Main+Hwy+Miami+FL" TargetMode="External" Id="rId42"/><Relationship Type="http://schemas.openxmlformats.org/officeDocument/2006/relationships/hyperlink" Target="https://www.instagram.com/midorie_miami/" TargetMode="External" Id="rId43"/><Relationship Type="http://schemas.openxmlformats.org/officeDocument/2006/relationships/hyperlink" Target="https://www.google.com/maps/search/?api=1&amp;query=25.7284643,-80.2339205" TargetMode="External" Id="rId44"/><Relationship Type="http://schemas.openxmlformats.org/officeDocument/2006/relationships/hyperlink" Target="https://www.regattaharbour.com/" TargetMode="External" Id="rId45"/><Relationship Type="http://schemas.openxmlformats.org/officeDocument/2006/relationships/hyperlink" Target="https://www.google.com/maps/search/?api=1&amp;query=Regatta+Harbour+3385+Pan+American+Dr+Miami+FL" TargetMode="External" Id="rId46"/><Relationship Type="http://schemas.openxmlformats.org/officeDocument/2006/relationships/hyperlink" Target="https://www.instagram.com/regattaharbour/" TargetMode="External" Id="rId47"/><Relationship Type="http://schemas.openxmlformats.org/officeDocument/2006/relationships/hyperlink" Target="https://www.google.com/maps/search/?api=1&amp;query=25.7152781,-80.2503978" TargetMode="External" Id="rId48"/><Relationship Type="http://schemas.openxmlformats.org/officeDocument/2006/relationships/hyperlink" Target="https://ntbg.org/gardens/kampong/" TargetMode="External" Id="rId49"/><Relationship Type="http://schemas.openxmlformats.org/officeDocument/2006/relationships/hyperlink" Target="https://www.google.com/search?q=The+Kampong+4013+S+Douglas+Rd+Coconut+Grove+reviews" TargetMode="External" Id="rId50"/><Relationship Type="http://schemas.openxmlformats.org/officeDocument/2006/relationships/hyperlink" Target="https://www.instagram.com/thekampong/" TargetMode="External" Id="rId51"/><Relationship Type="http://schemas.openxmlformats.org/officeDocument/2006/relationships/hyperlink" Target="https://www.google.com/maps/search/?api=1&amp;query=25.7538553,-80.2611351" TargetMode="External" Id="rId52"/><Relationship Type="http://schemas.openxmlformats.org/officeDocument/2006/relationships/hyperlink" Target="https://antoniobachour.com/" TargetMode="External" Id="rId53"/><Relationship Type="http://schemas.openxmlformats.org/officeDocument/2006/relationships/hyperlink" Target="https://www.yelp.com/biz/bachour-coral-gables" TargetMode="External" Id="rId54"/><Relationship Type="http://schemas.openxmlformats.org/officeDocument/2006/relationships/hyperlink" Target="https://www.instagram.com/bachourmiami/" TargetMode="External" Id="rId55"/><Relationship Type="http://schemas.openxmlformats.org/officeDocument/2006/relationships/hyperlink" Target="https://www.google.com/maps/search/?api=1&amp;query=25.7506451,-80.2600624" TargetMode="External" Id="rId56"/><Relationship Type="http://schemas.openxmlformats.org/officeDocument/2006/relationships/hyperlink" Target="https://www.booksandbooks.com/" TargetMode="External" Id="rId57"/><Relationship Type="http://schemas.openxmlformats.org/officeDocument/2006/relationships/hyperlink" Target="https://www.google.com/search?q=Books+%26+Books+265+Aragon+Ave+Coral+Gables+reviews" TargetMode="External" Id="rId58"/><Relationship Type="http://schemas.openxmlformats.org/officeDocument/2006/relationships/hyperlink" Target="https://www.instagram.com/booksandbooks/" TargetMode="External" Id="rId59"/><Relationship Type="http://schemas.openxmlformats.org/officeDocument/2006/relationships/hyperlink" Target="https://www.google.com/maps/search/?api=1&amp;query=25.7428751,-80.278489" TargetMode="External" Id="rId60"/><Relationship Type="http://schemas.openxmlformats.org/officeDocument/2006/relationships/hyperlink" Target="https://gablesucc.org/" TargetMode="External" Id="rId61"/><Relationship Type="http://schemas.openxmlformats.org/officeDocument/2006/relationships/hyperlink" Target="https://www.google.com/search?q=Coral+Gables+Congregational+Church+3010+De+Soto+Blvd+reviews" TargetMode="External" Id="rId62"/><Relationship Type="http://schemas.openxmlformats.org/officeDocument/2006/relationships/hyperlink" Target="https://www.instagram.com/coralgablesucc/" TargetMode="External" Id="rId63"/><Relationship Type="http://schemas.openxmlformats.org/officeDocument/2006/relationships/hyperlink" Target="https://www.google.com/maps/search/?api=1&amp;query=25.7514867,-80.2570634" TargetMode="External" Id="rId64"/><Relationship Type="http://schemas.openxmlformats.org/officeDocument/2006/relationships/hyperlink" Target="https://www.coralgables.com/attractions/giralda-plaza" TargetMode="External" Id="rId65"/><Relationship Type="http://schemas.openxmlformats.org/officeDocument/2006/relationships/hyperlink" Target="https://www.google.com/maps/search/?api=1&amp;query=Giralda+Plaza+Coral+Gables+FL" TargetMode="External" Id="rId66"/><Relationship Type="http://schemas.openxmlformats.org/officeDocument/2006/relationships/hyperlink" Target="https://www.instagram.com/giraldaplaza/" TargetMode="External" Id="rId67"/><Relationship Type="http://schemas.openxmlformats.org/officeDocument/2006/relationships/hyperlink" Target="https://www.google.com/maps/search/?api=1&amp;query=25.749713,-80.255427" TargetMode="External" Id="rId68"/><Relationship Type="http://schemas.openxmlformats.org/officeDocument/2006/relationships/hyperlink" Target="https://www.coralgables.com/attractions/miracle-mile" TargetMode="External" Id="rId69"/><Relationship Type="http://schemas.openxmlformats.org/officeDocument/2006/relationships/hyperlink" Target="https://www.google.com/maps/search/?api=1&amp;query=Miracle+Mile+Coral+Gables+FL" TargetMode="External" Id="rId70"/><Relationship Type="http://schemas.openxmlformats.org/officeDocument/2006/relationships/hyperlink" Target="https://www.instagram.com/cityofcoralgables/" TargetMode="External" Id="rId71"/><Relationship Type="http://schemas.openxmlformats.org/officeDocument/2006/relationships/hyperlink" Target="https://www.google.com/maps/search/?api=1&amp;query=25.676931,-80.272789" TargetMode="External" Id="rId72"/><Relationship Type="http://schemas.openxmlformats.org/officeDocument/2006/relationships/hyperlink" Target="https://fairchildgarden.org/" TargetMode="External" Id="rId73"/><Relationship Type="http://schemas.openxmlformats.org/officeDocument/2006/relationships/hyperlink" Target="https://www.google.com/search?q=Fairchild+Tropical+Botanic+Garden+reviews" TargetMode="External" Id="rId74"/><Relationship Type="http://schemas.openxmlformats.org/officeDocument/2006/relationships/hyperlink" Target="https://www.instagram.com/fairchildgarden/" TargetMode="External" Id="rId75"/><Relationship Type="http://schemas.openxmlformats.org/officeDocument/2006/relationships/hyperlink" Target="https://www.google.com/maps/search/?api=1&amp;query=25.7514197,-80.257631" TargetMode="External" Id="rId76"/><Relationship Type="http://schemas.openxmlformats.org/officeDocument/2006/relationships/hyperlink" Target="https://www.threefoldcafe.com/" TargetMode="External" Id="rId77"/><Relationship Type="http://schemas.openxmlformats.org/officeDocument/2006/relationships/hyperlink" Target="https://www.google.com/search?q=Threefold+Cafe+141+Giralda+Ave+Coral+Gables+reviews" TargetMode="External" Id="rId78"/><Relationship Type="http://schemas.openxmlformats.org/officeDocument/2006/relationships/hyperlink" Target="https://www.instagram.com/threefoldcafe/" TargetMode="External" Id="rId79"/><Relationship Type="http://schemas.openxmlformats.org/officeDocument/2006/relationships/hyperlink" Target="https://www.google.com/maps/search/?api=1&amp;query=25.7461508,-80.221873" TargetMode="External" Id="rId80"/><Relationship Type="http://schemas.openxmlformats.org/officeDocument/2006/relationships/hyperlink" Target="https://el-carajo.com/" TargetMode="External" Id="rId81"/><Relationship Type="http://schemas.openxmlformats.org/officeDocument/2006/relationships/hyperlink" Target="https://www.google.com/maps/search/?api=1&amp;query=El+Carajo+2465+SW+17th+Ave+Miami+FL" TargetMode="External" Id="rId82"/><Relationship Type="http://schemas.openxmlformats.org/officeDocument/2006/relationships/hyperlink" Target="https://www.instagram.com/theelcarajo/" TargetMode="External" Id="rId83"/><Relationship Type="http://schemas.openxmlformats.org/officeDocument/2006/relationships/hyperlink" Target="https://www.google.com/maps/search/?api=1&amp;query=25.8132334,-80.1944904" TargetMode="External" Id="rId84"/><Relationship Type="http://schemas.openxmlformats.org/officeDocument/2006/relationships/hyperlink" Target="https://dalezine.com/" TargetMode="External" Id="rId85"/><Relationship Type="http://schemas.openxmlformats.org/officeDocument/2006/relationships/hyperlink" Target="https://www.google.com/search?q=Dale+Zine+50+NE+40th+St+Miami+reviews" TargetMode="External" Id="rId86"/><Relationship Type="http://schemas.openxmlformats.org/officeDocument/2006/relationships/hyperlink" Target="https://www.instagram.com/dale_zine/" TargetMode="External" Id="rId87"/><Relationship Type="http://schemas.openxmlformats.org/officeDocument/2006/relationships/hyperlink" Target="https://www.google.com/maps/search/?api=1&amp;query=25.8143585,-80.1942981" TargetMode="External" Id="rId88"/><Relationship Type="http://schemas.openxmlformats.org/officeDocument/2006/relationships/hyperlink" Target="https://icamiami.org/" TargetMode="External" Id="rId89"/><Relationship Type="http://schemas.openxmlformats.org/officeDocument/2006/relationships/hyperlink" Target="https://www.yelp.com/biz/institute-of-contemporary-art-miami-miami-2" TargetMode="External" Id="rId90"/><Relationship Type="http://schemas.openxmlformats.org/officeDocument/2006/relationships/hyperlink" Target="https://www.instagram.com/icamiami/" TargetMode="External" Id="rId91"/><Relationship Type="http://schemas.openxmlformats.org/officeDocument/2006/relationships/hyperlink" Target="https://www.google.com/maps/search/?api=1&amp;query=25.811964,-80.193276" TargetMode="External" Id="rId92"/><Relationship Type="http://schemas.openxmlformats.org/officeDocument/2006/relationships/hyperlink" Target="https://www.miamidesigndistrict.com/event-venue/742/jungle-plaza/" TargetMode="External" Id="rId93"/><Relationship Type="http://schemas.openxmlformats.org/officeDocument/2006/relationships/hyperlink" Target="https://www.google.com/maps/search/?api=1&amp;query=Jungle+Plaza+3801+NE+1st+Ave+Miami+FL" TargetMode="External" Id="rId94"/><Relationship Type="http://schemas.openxmlformats.org/officeDocument/2006/relationships/hyperlink" Target="https://www.instagram.com/miamidesigndistrict/" TargetMode="External" Id="rId95"/><Relationship Type="http://schemas.openxmlformats.org/officeDocument/2006/relationships/hyperlink" Target="https://www.google.com/maps/search/?api=1&amp;query=25.8123753,-80.1924115" TargetMode="External" Id="rId96"/><Relationship Type="http://schemas.openxmlformats.org/officeDocument/2006/relationships/hyperlink" Target="https://www.miamidesigndistrict.com/" TargetMode="External" Id="rId97"/><Relationship Type="http://schemas.openxmlformats.org/officeDocument/2006/relationships/hyperlink" Target="https://www.google.com/search?q=Miami+Design+District+reviews" TargetMode="External" Id="rId98"/><Relationship Type="http://schemas.openxmlformats.org/officeDocument/2006/relationships/hyperlink" Target="https://www.instagram.com/miamidesigndistrict/" TargetMode="External" Id="rId99"/><Relationship Type="http://schemas.openxmlformats.org/officeDocument/2006/relationships/hyperlink" Target="https://www.google.com/maps/search/?api=1&amp;query=25.7784792,-80.1867682" TargetMode="External" Id="rId100"/><Relationship Type="http://schemas.openxmlformats.org/officeDocument/2006/relationships/hyperlink" Target="https://baysidemarketplace.com/" TargetMode="External" Id="rId101"/><Relationship Type="http://schemas.openxmlformats.org/officeDocument/2006/relationships/hyperlink" Target="https://www.google.com/search?q=Bayside+Marketplace+Miami+reviews" TargetMode="External" Id="rId102"/><Relationship Type="http://schemas.openxmlformats.org/officeDocument/2006/relationships/hyperlink" Target="https://www.instagram.com/baysidemarketplace/" TargetMode="External" Id="rId103"/><Relationship Type="http://schemas.openxmlformats.org/officeDocument/2006/relationships/hyperlink" Target="https://www.google.com/maps/search/?api=1&amp;query=25.79118,-80.1966257" TargetMode="External" Id="rId104"/><Relationship Type="http://schemas.openxmlformats.org/officeDocument/2006/relationships/hyperlink" Target="https://www.gobrightline.com/" TargetMode="External" Id="rId105"/><Relationship Type="http://schemas.openxmlformats.org/officeDocument/2006/relationships/hyperlink" Target="https://www.google.com/maps/search/?api=1&amp;query=Citizens+MiamiCentral+600+NW+1st+Ave+Miami+FL" TargetMode="External" Id="rId106"/><Relationship Type="http://schemas.openxmlformats.org/officeDocument/2006/relationships/hyperlink" Target="https://www.instagram.com/citizens_miamicentral/" TargetMode="External" Id="rId107"/><Relationship Type="http://schemas.openxmlformats.org/officeDocument/2006/relationships/hyperlink" Target="https://www.google.com/maps/search/?api=1&amp;query=25.7849579,-80.1935969" TargetMode="External" Id="rId108"/><Relationship Type="http://schemas.openxmlformats.org/officeDocument/2006/relationships/hyperlink" Target="https://www.11miami.com/" TargetMode="External" Id="rId109"/><Relationship Type="http://schemas.openxmlformats.org/officeDocument/2006/relationships/hyperlink" Target="https://www.yelp.com/biz/e11even-miami-4" TargetMode="External" Id="rId110"/><Relationship Type="http://schemas.openxmlformats.org/officeDocument/2006/relationships/hyperlink" Target="https://www.instagram.com/11miami/" TargetMode="External" Id="rId111"/><Relationship Type="http://schemas.openxmlformats.org/officeDocument/2006/relationships/hyperlink" Target="https://www.google.com/maps/search/?api=1&amp;query=25.7757584,-80.1960776" TargetMode="External" Id="rId112"/><Relationship Type="http://schemas.openxmlformats.org/officeDocument/2006/relationships/hyperlink" Target="https://www.miamidade.gov/transportation-publicworks/metrorail-stations.asp" TargetMode="External" Id="rId113"/><Relationship Type="http://schemas.openxmlformats.org/officeDocument/2006/relationships/hyperlink" Target="https://www.google.com/maps/search/?api=1&amp;query=Government+Center+Station+101+NW+1st+St+Miami+FL" TargetMode="External" Id="rId114"/><Relationship Type="http://schemas.openxmlformats.org/officeDocument/2006/relationships/hyperlink" Target="https://www.instagram.com/miamidadetransit/" TargetMode="External" Id="rId115"/><Relationship Type="http://schemas.openxmlformats.org/officeDocument/2006/relationships/hyperlink" Target="https://www.google.com/maps/search/?api=1&amp;query=25.7813595,-80.1879435" TargetMode="External" Id="rId116"/><Relationship Type="http://schemas.openxmlformats.org/officeDocument/2006/relationships/hyperlink" Target="https://www.kaseyacenter.com/" TargetMode="External" Id="rId117"/><Relationship Type="http://schemas.openxmlformats.org/officeDocument/2006/relationships/hyperlink" Target="https://www.google.com/maps/search/?api=1&amp;query=Kaseya+Center+601+Biscayne+Blvd+Miami+FL" TargetMode="External" Id="rId118"/><Relationship Type="http://schemas.openxmlformats.org/officeDocument/2006/relationships/hyperlink" Target="https://www.instagram.com/kaseyacenter/" TargetMode="External" Id="rId119"/><Relationship Type="http://schemas.openxmlformats.org/officeDocument/2006/relationships/hyperlink" Target="https://www.google.com/maps/search/?api=1&amp;query=25.7743673,-80.1907341" TargetMode="External" Id="rId120"/><Relationship Type="http://schemas.openxmlformats.org/officeDocument/2006/relationships/hyperlink" Target="https://www.lostboydrygoods.com/" TargetMode="External" Id="rId121"/><Relationship Type="http://schemas.openxmlformats.org/officeDocument/2006/relationships/hyperlink" Target="https://www.google.com/search?q=Lost+Boy+Dry+Goods+Miami+157+E+Flagler+St+reviews" TargetMode="External" Id="rId122"/><Relationship Type="http://schemas.openxmlformats.org/officeDocument/2006/relationships/hyperlink" Target="https://www.instagram.com/lostboydrygoods/" TargetMode="External" Id="rId123"/><Relationship Type="http://schemas.openxmlformats.org/officeDocument/2006/relationships/hyperlink" Target="https://www.google.com/maps/search/?api=1&amp;query=25.774428,-80.190885" TargetMode="External" Id="rId124"/><Relationship Type="http://schemas.openxmlformats.org/officeDocument/2006/relationships/hyperlink" Target="https://overundermiami.com/" TargetMode="External" Id="rId125"/><Relationship Type="http://schemas.openxmlformats.org/officeDocument/2006/relationships/hyperlink" Target="https://www.google.com/search?q=Over+Under+Miami+151+E+Flagler+St+reviews" TargetMode="External" Id="rId126"/><Relationship Type="http://schemas.openxmlformats.org/officeDocument/2006/relationships/hyperlink" Target="https://www.instagram.com/overundermiami/" TargetMode="External" Id="rId127"/><Relationship Type="http://schemas.openxmlformats.org/officeDocument/2006/relationships/hyperlink" Target="https://www.google.com/maps/search/?api=1&amp;query=25.7859809,-80.1862693" TargetMode="External" Id="rId128"/><Relationship Type="http://schemas.openxmlformats.org/officeDocument/2006/relationships/hyperlink" Target="https://www.pamm.org/" TargetMode="External" Id="rId129"/><Relationship Type="http://schemas.openxmlformats.org/officeDocument/2006/relationships/hyperlink" Target="https://www.yelp.com/biz/p%C3%A9rez-art-museum-miami-miami-7" TargetMode="External" Id="rId130"/><Relationship Type="http://schemas.openxmlformats.org/officeDocument/2006/relationships/hyperlink" Target="https://www.instagram.com/pamm/" TargetMode="External" Id="rId131"/><Relationship Type="http://schemas.openxmlformats.org/officeDocument/2006/relationships/hyperlink" Target="https://www.google.com/maps/search/?api=1&amp;query=25.7839,-80.1869" TargetMode="External" Id="rId132"/><Relationship Type="http://schemas.openxmlformats.org/officeDocument/2006/relationships/hyperlink" Target="https://www.miami.gov/Parks-Public-Places/Parks-Directory/Maurice-A.-Ferre-Park" TargetMode="External" Id="rId133"/><Relationship Type="http://schemas.openxmlformats.org/officeDocument/2006/relationships/hyperlink" Target="https://www.google.com/maps/search/?api=1&amp;query=Maurice+A.+Ferre+Park+1075+Biscayne+Blvd+Miami+FL" TargetMode="External" Id="rId134"/><Relationship Type="http://schemas.openxmlformats.org/officeDocument/2006/relationships/hyperlink" Target="https://www.instagram.com/miamiparks/" TargetMode="External" Id="rId135"/><Relationship Type="http://schemas.openxmlformats.org/officeDocument/2006/relationships/hyperlink" Target="https://www.google.com/maps/search/?api=1&amp;query=25.784656,-80.193897" TargetMode="External" Id="rId136"/><Relationship Type="http://schemas.openxmlformats.org/officeDocument/2006/relationships/hyperlink" Target="https://www.thecornermiami.com/" TargetMode="External" Id="rId137"/><Relationship Type="http://schemas.openxmlformats.org/officeDocument/2006/relationships/hyperlink" Target="https://www.google.com/maps/search/?api=1&amp;query=The+Corner+1035+N+Miami+Ave+Miami+FL" TargetMode="External" Id="rId138"/><Relationship Type="http://schemas.openxmlformats.org/officeDocument/2006/relationships/hyperlink" Target="https://www.instagram.com/thecornermiami/" TargetMode="External" Id="rId139"/><Relationship Type="http://schemas.openxmlformats.org/officeDocument/2006/relationships/hyperlink" Target="https://www.google.com/maps/search/?api=1&amp;query=25.791406,-80.194302" TargetMode="External" Id="rId140"/><Relationship Type="http://schemas.openxmlformats.org/officeDocument/2006/relationships/hyperlink" Target="https://vicecitybean.com/" TargetMode="External" Id="rId141"/><Relationship Type="http://schemas.openxmlformats.org/officeDocument/2006/relationships/hyperlink" Target="https://www.google.com/search?q=Vice+City+Bean+1657+N+Miami+Ave+reviews" TargetMode="External" Id="rId142"/><Relationship Type="http://schemas.openxmlformats.org/officeDocument/2006/relationships/hyperlink" Target="https://www.instagram.com/vicecitybean/" TargetMode="External" Id="rId143"/><Relationship Type="http://schemas.openxmlformats.org/officeDocument/2006/relationships/hyperlink" Target="https://www.google.com/maps/search/?api=1&amp;query=25.8395301,-80.2079248" TargetMode="External" Id="rId144"/><Relationship Type="http://schemas.openxmlformats.org/officeDocument/2006/relationships/hyperlink" Target="https://naomismiami.com/" TargetMode="External" Id="rId145"/><Relationship Type="http://schemas.openxmlformats.org/officeDocument/2006/relationships/hyperlink" Target="https://www.google.com/search?q=Naomi%27s+Garden+650+NW+71st+St+Miami+reviews" TargetMode="External" Id="rId146"/><Relationship Type="http://schemas.openxmlformats.org/officeDocument/2006/relationships/hyperlink" Target="https://www.instagram.com/naomismiami/" TargetMode="External" Id="rId147"/><Relationship Type="http://schemas.openxmlformats.org/officeDocument/2006/relationships/hyperlink" Target="https://www.google.com/maps/search/?api=1&amp;query=25.8263434,-80.1917894" TargetMode="External" Id="rId148"/><Relationship Type="http://schemas.openxmlformats.org/officeDocument/2006/relationships/hyperlink" Target="https://www.sweatrecordsmiami.com/" TargetMode="External" Id="rId149"/><Relationship Type="http://schemas.openxmlformats.org/officeDocument/2006/relationships/hyperlink" Target="https://www.google.com/search?q=Sweat+Records+5505+NE+2nd+Ave+Miami+reviews" TargetMode="External" Id="rId150"/><Relationship Type="http://schemas.openxmlformats.org/officeDocument/2006/relationships/hyperlink" Target="https://www.instagram.com/sweatrecords/" TargetMode="External" Id="rId151"/><Relationship Type="http://schemas.openxmlformats.org/officeDocument/2006/relationships/hyperlink" Target="https://www.google.com/maps/search/?api=1&amp;query=25.7658068,-80.2197761" TargetMode="External" Id="rId152"/><Relationship Type="http://schemas.openxmlformats.org/officeDocument/2006/relationships/hyperlink" Target="https://ballandchainmiami.com/" TargetMode="External" Id="rId153"/><Relationship Type="http://schemas.openxmlformats.org/officeDocument/2006/relationships/hyperlink" Target="https://www.google.com/search?q=Ball+and+Chain+Miami+reviews" TargetMode="External" Id="rId154"/><Relationship Type="http://schemas.openxmlformats.org/officeDocument/2006/relationships/hyperlink" Target="https://www.instagram.com/ballandchainmia/" TargetMode="External" Id="rId155"/><Relationship Type="http://schemas.openxmlformats.org/officeDocument/2006/relationships/hyperlink" Target="https://www.google.com/maps/search/?api=1&amp;query=25.8421983,-80.2005557" TargetMode="External" Id="rId156"/><Relationship Type="http://schemas.openxmlformats.org/officeDocument/2006/relationships/hyperlink" Target="https://www.imperialmoto.com/" TargetMode="External" Id="rId157"/><Relationship Type="http://schemas.openxmlformats.org/officeDocument/2006/relationships/hyperlink" Target="https://www.google.com/search?q=Imperial+Moto+Cafe+7299+NW+2nd+Ave+Miami+reviews" TargetMode="External" Id="rId158"/><Relationship Type="http://schemas.openxmlformats.org/officeDocument/2006/relationships/hyperlink" Target="https://www.instagram.com/imperialmoto/" TargetMode="External" Id="rId159"/><Relationship Type="http://schemas.openxmlformats.org/officeDocument/2006/relationships/hyperlink" Target="https://www.google.com/maps/search/?api=1&amp;query=25.8531665,-80.1933545" TargetMode="External" Id="rId160"/><Relationship Type="http://schemas.openxmlformats.org/officeDocument/2006/relationships/hyperlink" Target="https://www.plantthefuture.com/" TargetMode="External" Id="rId161"/><Relationship Type="http://schemas.openxmlformats.org/officeDocument/2006/relationships/hyperlink" Target="https://www.google.com/search?q=Plant+the+Future+8484+NE+2nd+Ave+Miami+reviews" TargetMode="External" Id="rId162"/><Relationship Type="http://schemas.openxmlformats.org/officeDocument/2006/relationships/hyperlink" Target="https://www.instagram.com/plantthefuture/" TargetMode="External" Id="rId163"/><Relationship Type="http://schemas.openxmlformats.org/officeDocument/2006/relationships/hyperlink" Target="https://www.google.com/maps/search/?api=1&amp;query=25.8090466,-80.1910054" TargetMode="External" Id="rId164"/><Relationship Type="http://schemas.openxmlformats.org/officeDocument/2006/relationships/hyperlink" Target="http://www.lagniappehouse.com/" TargetMode="External" Id="rId165"/><Relationship Type="http://schemas.openxmlformats.org/officeDocument/2006/relationships/hyperlink" Target="https://www.yelp.com/biz/lagniappe-miami-3" TargetMode="External" Id="rId166"/><Relationship Type="http://schemas.openxmlformats.org/officeDocument/2006/relationships/hyperlink" Target="https://www.instagram.com/lagniappehouse/" TargetMode="External" Id="rId167"/><Relationship Type="http://schemas.openxmlformats.org/officeDocument/2006/relationships/hyperlink" Target="https://www.google.com/maps/search/?api=1&amp;query=25.782431,-80.191854" TargetMode="External" Id="rId168"/><Relationship Type="http://schemas.openxmlformats.org/officeDocument/2006/relationships/hyperlink" Target="https://miamiworldcenter.com/" TargetMode="External" Id="rId169"/><Relationship Type="http://schemas.openxmlformats.org/officeDocument/2006/relationships/hyperlink" Target="https://www.google.com/search?q=Miami+Worldcenter+reviews" TargetMode="External" Id="rId170"/><Relationship Type="http://schemas.openxmlformats.org/officeDocument/2006/relationships/hyperlink" Target="https://www.instagram.com/miamiworldcenter/" TargetMode="External" Id="rId171"/><Relationship Type="http://schemas.openxmlformats.org/officeDocument/2006/relationships/hyperlink" Target="https://www.google.com/maps/search/?api=1&amp;query=25.6554818,-80.3268453" TargetMode="External" Id="rId172"/><Relationship Type="http://schemas.openxmlformats.org/officeDocument/2006/relationships/hyperlink" Target="https://www.brewingbuddha.com/" TargetMode="External" Id="rId173"/><Relationship Type="http://schemas.openxmlformats.org/officeDocument/2006/relationships/hyperlink" Target="https://www.google.com/search?q=Brewing+Buddha+Cafe+8219+SW+124th+St+Pinecrest+reviews" TargetMode="External" Id="rId174"/><Relationship Type="http://schemas.openxmlformats.org/officeDocument/2006/relationships/hyperlink" Target="https://www.instagram.com/brewingbuddha/" TargetMode="External" Id="rId175"/><Relationship Type="http://schemas.openxmlformats.org/officeDocument/2006/relationships/hyperlink" Target="https://www.google.com/maps/search/?api=1&amp;query=25.7887693,-80.1416261" TargetMode="External" Id="rId176"/><Relationship Type="http://schemas.openxmlformats.org/officeDocument/2006/relationships/hyperlink" Target="https://www.bodegataqueria.com/location/southbeach/" TargetMode="External" Id="rId177"/><Relationship Type="http://schemas.openxmlformats.org/officeDocument/2006/relationships/hyperlink" Target="https://www.google.com/search?q=Bodega+Taqueria+y+Tequila+South+Beach+reviews" TargetMode="External" Id="rId178"/><Relationship Type="http://schemas.openxmlformats.org/officeDocument/2006/relationships/hyperlink" Target="https://www.instagram.com/bodegataqueria/" TargetMode="External" Id="rId179"/><Relationship Type="http://schemas.openxmlformats.org/officeDocument/2006/relationships/hyperlink" Target="https://www.google.com/maps/search/?api=1&amp;query=25.8045422,-80.1263489" TargetMode="External" Id="rId180"/><Relationship Type="http://schemas.openxmlformats.org/officeDocument/2006/relationships/hyperlink" Target="https://www.brokenshaker.com/location/miami-hours-and-location/" TargetMode="External" Id="rId181"/><Relationship Type="http://schemas.openxmlformats.org/officeDocument/2006/relationships/hyperlink" Target="https://www.google.com/search?q=Broken+Shaker+2727+Indian+Creek+Dr+Miami+Beach+reviews" TargetMode="External" Id="rId182"/><Relationship Type="http://schemas.openxmlformats.org/officeDocument/2006/relationships/hyperlink" Target="https://www.instagram.com/brokenshaker/" TargetMode="External" Id="rId183"/><Relationship Type="http://schemas.openxmlformats.org/officeDocument/2006/relationships/hyperlink" Target="https://www.google.com/maps/search/?api=1&amp;query=25.7870053,-80.1320681" TargetMode="External" Id="rId184"/><Relationship Type="http://schemas.openxmlformats.org/officeDocument/2006/relationships/hyperlink" Target="https://www.experiencemiamibeach.com/local-attractions/espanola-way" TargetMode="External" Id="rId185"/><Relationship Type="http://schemas.openxmlformats.org/officeDocument/2006/relationships/hyperlink" Target="https://www.google.com/maps/search/?api=1&amp;query=Espanola+Way+Miami+Beach+FL" TargetMode="External" Id="rId186"/><Relationship Type="http://schemas.openxmlformats.org/officeDocument/2006/relationships/hyperlink" Target="https://www.instagram.com/espanolaway/" TargetMode="External" Id="rId187"/><Relationship Type="http://schemas.openxmlformats.org/officeDocument/2006/relationships/hyperlink" Target="https://www.google.com/maps/search/?api=1&amp;query=25.7806133,-80.1298933" TargetMode="External" Id="rId188"/><Relationship Type="http://schemas.openxmlformats.org/officeDocument/2006/relationships/hyperlink" Target="https://www.miamibeachfl.gov/city-hall/parks-and-recreation/parks-facilities-directory/lummus-park/" TargetMode="External" Id="rId189"/><Relationship Type="http://schemas.openxmlformats.org/officeDocument/2006/relationships/hyperlink" Target="https://www.google.com/search?q=Lummus+Park+Miami+Beach+reviews" TargetMode="External" Id="rId190"/><Relationship Type="http://schemas.openxmlformats.org/officeDocument/2006/relationships/hyperlink" Target="https://www.instagram.com/cityofmiamibeach/" TargetMode="External" Id="rId191"/><Relationship Type="http://schemas.openxmlformats.org/officeDocument/2006/relationships/hyperlink" Target="https://www.google.com/maps/search/?api=1&amp;query=25.7852938,-80.1314647" TargetMode="External" Id="rId192"/><Relationship Type="http://schemas.openxmlformats.org/officeDocument/2006/relationships/hyperlink" Target="https://www.macsclubdeuce.com/" TargetMode="External" Id="rId193"/><Relationship Type="http://schemas.openxmlformats.org/officeDocument/2006/relationships/hyperlink" Target="https://www.google.com/search?q=Mac%27s+Club+Deuce+222+14th+St+Miami+Beach+reviews" TargetMode="External" Id="rId194"/><Relationship Type="http://schemas.openxmlformats.org/officeDocument/2006/relationships/hyperlink" Target="https://www.instagram.com/macsclubdeuce/" TargetMode="External" Id="rId195"/><Relationship Type="http://schemas.openxmlformats.org/officeDocument/2006/relationships/hyperlink" Target="https://www.google.com/maps/search/?api=1&amp;query=25.7914055,-80.1300535" TargetMode="External" Id="rId196"/><Relationship Type="http://schemas.openxmlformats.org/officeDocument/2006/relationships/hyperlink" Target="https://www.rosettabakery.com/" TargetMode="External" Id="rId197"/><Relationship Type="http://schemas.openxmlformats.org/officeDocument/2006/relationships/hyperlink" Target="https://www.google.com/search?q=Rosetta+Bakery+1666+Collins+Ave+Miami+Beach+reviews" TargetMode="External" Id="rId198"/><Relationship Type="http://schemas.openxmlformats.org/officeDocument/2006/relationships/hyperlink" Target="https://www.instagram.com/rosettabakery/" TargetMode="External" Id="rId199"/><Relationship Type="http://schemas.openxmlformats.org/officeDocument/2006/relationships/hyperlink" Target="https://www.google.com/maps/search/?api=1&amp;query=25.7973966,-80.1299536" TargetMode="External" Id="rId200"/><Relationship Type="http://schemas.openxmlformats.org/officeDocument/2006/relationships/hyperlink" Target="https://thebass.org/" TargetMode="External" Id="rId201"/><Relationship Type="http://schemas.openxmlformats.org/officeDocument/2006/relationships/hyperlink" Target="https://www.google.com/search?q=The+Bass+Museum+Miami+Beach+reviews" TargetMode="External" Id="rId202"/><Relationship Type="http://schemas.openxmlformats.org/officeDocument/2006/relationships/hyperlink" Target="https://www.instagram.com/thebassmoa/" TargetMode="External" Id="rId203"/><Relationship Type="http://schemas.openxmlformats.org/officeDocument/2006/relationships/hyperlink" Target="https://www.google.com/maps/search/?api=1&amp;query=25.785967,-80.134925" TargetMode="External" Id="rId204"/><Relationship Type="http://schemas.openxmlformats.org/officeDocument/2006/relationships/hyperlink" Target="https://thetemplehouse.com/" TargetMode="External" Id="rId205"/><Relationship Type="http://schemas.openxmlformats.org/officeDocument/2006/relationships/hyperlink" Target="https://www.yelp.com/biz/the-temple-house-miami-beach" TargetMode="External" Id="rId206"/><Relationship Type="http://schemas.openxmlformats.org/officeDocument/2006/relationships/hyperlink" Target="https://www.instagram.com/thetemplehouse/" TargetMode="External" Id="rId207"/><Relationship Type="http://schemas.openxmlformats.org/officeDocument/2006/relationships/hyperlink" Target="https://www.google.com/maps/search/?api=1&amp;query=25.7747548,-80.1358438" TargetMode="External" Id="rId208"/><Relationship Type="http://schemas.openxmlformats.org/officeDocument/2006/relationships/hyperlink" Target="https://www.mangotreemiami.com/" TargetMode="External" Id="rId209"/><Relationship Type="http://schemas.openxmlformats.org/officeDocument/2006/relationships/hyperlink" Target="https://www.google.com/maps/search/?api=1&amp;query=Under+the+Mango+Tree+737+5th+St+Miami+Beach+FL" TargetMode="External" Id="rId210"/><Relationship Type="http://schemas.openxmlformats.org/officeDocument/2006/relationships/hyperlink" Target="https://www.instagram.com/underthemangotreemiami/" TargetMode="External" Id="rId211"/><Relationship Type="http://schemas.openxmlformats.org/officeDocument/2006/relationships/hyperlink" Target="https://www.google.com/maps/search/?api=1&amp;query=25.7861775,-80.1746936" TargetMode="External" Id="rId212"/><Relationship Type="http://schemas.openxmlformats.org/officeDocument/2006/relationships/hyperlink" Target="https://joiabeachmiami.com/" TargetMode="External" Id="rId213"/><Relationship Type="http://schemas.openxmlformats.org/officeDocument/2006/relationships/hyperlink" Target="https://www.google.com/search?q=Joia+Beach+Miami+reviews" TargetMode="External" Id="rId214"/><Relationship Type="http://schemas.openxmlformats.org/officeDocument/2006/relationships/hyperlink" Target="https://www.instagram.com/joiabeach/" TargetMode="External" Id="rId215"/><Relationship Type="http://schemas.openxmlformats.org/officeDocument/2006/relationships/hyperlink" Target="https://www.google.com/maps/search/?api=1&amp;query=25.786155,-80.174993" TargetMode="External" Id="rId216"/><Relationship Type="http://schemas.openxmlformats.org/officeDocument/2006/relationships/hyperlink" Target="https://www.jungleisland.com/" TargetMode="External" Id="rId217"/><Relationship Type="http://schemas.openxmlformats.org/officeDocument/2006/relationships/hyperlink" Target="https://www.google.com/maps/search/?api=1&amp;query=Jungle+Island+1111+Parrot+Jungle+Trail+Miami+FL" TargetMode="External" Id="rId218"/><Relationship Type="http://schemas.openxmlformats.org/officeDocument/2006/relationships/hyperlink" Target="https://www.instagram.com/jungleisland/" TargetMode="External" Id="rId219"/><Relationship Type="http://schemas.openxmlformats.org/officeDocument/2006/relationships/hyperlink" Target="https://www.google.com/maps/search/?api=1&amp;query=25.7993233,-80.1979686" TargetMode="External" Id="rId220"/><Relationship Type="http://schemas.openxmlformats.org/officeDocument/2006/relationships/hyperlink" Target="https://1800lucky.com/" TargetMode="External" Id="rId221"/><Relationship Type="http://schemas.openxmlformats.org/officeDocument/2006/relationships/hyperlink" Target="https://www.google.com/search?q=1-800-Lucky+Wynwood+Miami+reviews" TargetMode="External" Id="rId222"/><Relationship Type="http://schemas.openxmlformats.org/officeDocument/2006/relationships/hyperlink" Target="https://www.instagram.com/1800lucky/" TargetMode="External" Id="rId223"/><Relationship Type="http://schemas.openxmlformats.org/officeDocument/2006/relationships/hyperlink" Target="https://www.google.com/maps/search/?api=1&amp;query=25.8011178,-80.2037057" TargetMode="External" Id="rId224"/><Relationship Type="http://schemas.openxmlformats.org/officeDocument/2006/relationships/hyperlink" Target="https://danteshifi.com/" TargetMode="External" Id="rId225"/><Relationship Type="http://schemas.openxmlformats.org/officeDocument/2006/relationships/hyperlink" Target="https://www.yelp.com/biz/dantes-hifi-miami" TargetMode="External" Id="rId226"/><Relationship Type="http://schemas.openxmlformats.org/officeDocument/2006/relationships/hyperlink" Target="https://www.instagram.com/danteshifi/" TargetMode="External" Id="rId227"/><Relationship Type="http://schemas.openxmlformats.org/officeDocument/2006/relationships/hyperlink" Target="https://www.google.com/maps/search/?api=1&amp;query=25.7982083,-80.1990834" TargetMode="External" Id="rId228"/><Relationship Type="http://schemas.openxmlformats.org/officeDocument/2006/relationships/hyperlink" Target="https://dasherandcrank.com/" TargetMode="External" Id="rId229"/><Relationship Type="http://schemas.openxmlformats.org/officeDocument/2006/relationships/hyperlink" Target="https://www.google.com/maps/search/?api=1&amp;query=Dasher+%26+Crank+2211+NW+2nd+Ave+Miami+FL" TargetMode="External" Id="rId230"/><Relationship Type="http://schemas.openxmlformats.org/officeDocument/2006/relationships/hyperlink" Target="https://www.instagram.com/dashercrank/" TargetMode="External" Id="rId231"/><Relationship Type="http://schemas.openxmlformats.org/officeDocument/2006/relationships/hyperlink" Target="https://www.google.com/maps/search/?api=1&amp;query=25.802408,-80.2016552" TargetMode="External" Id="rId232"/><Relationship Type="http://schemas.openxmlformats.org/officeDocument/2006/relationships/hyperlink" Target="https://www.miamcafe.com/" TargetMode="External" Id="rId233"/><Relationship Type="http://schemas.openxmlformats.org/officeDocument/2006/relationships/hyperlink" Target="https://www.google.com/maps/search/?api=1&amp;query=Miam+Cafe+2750+NW+3rd+Ave+Miami+FL" TargetMode="External" Id="rId234"/><Relationship Type="http://schemas.openxmlformats.org/officeDocument/2006/relationships/hyperlink" Target="https://www.instagram.com/miam.cafe/" TargetMode="External" Id="rId235"/><Relationship Type="http://schemas.openxmlformats.org/officeDocument/2006/relationships/hyperlink" Target="https://www.google.com/maps/search/?api=1&amp;query=25.79994,-80.199245" TargetMode="External" Id="rId236"/><Relationship Type="http://schemas.openxmlformats.org/officeDocument/2006/relationships/hyperlink" Target="https://panthercoffee.com/" TargetMode="External" Id="rId237"/><Relationship Type="http://schemas.openxmlformats.org/officeDocument/2006/relationships/hyperlink" Target="https://www.google.com/search?q=Panther+Coffee+Wynwood+2390+NW+2nd+Ave+Miami+reviews" TargetMode="External" Id="rId238"/><Relationship Type="http://schemas.openxmlformats.org/officeDocument/2006/relationships/hyperlink" Target="https://www.instagram.com/panthercoffee/" TargetMode="External" Id="rId239"/><Relationship Type="http://schemas.openxmlformats.org/officeDocument/2006/relationships/hyperlink" Target="https://www.google.com/maps/search/?api=1&amp;query=25.7994517,-80.1960754" TargetMode="External" Id="rId240"/><Relationship Type="http://schemas.openxmlformats.org/officeDocument/2006/relationships/hyperlink" Target="https://www.saltydonut.com/locations/wynwood" TargetMode="External" Id="rId241"/><Relationship Type="http://schemas.openxmlformats.org/officeDocument/2006/relationships/hyperlink" Target="https://www.google.com/search?q=The+Salty+Donut+Wynwood+50+NW+24th+St+Miami+reviews" TargetMode="External" Id="rId242"/><Relationship Type="http://schemas.openxmlformats.org/officeDocument/2006/relationships/hyperlink" Target="https://www.instagram.com/thesaltydonut/" TargetMode="External" Id="rId243"/><Relationship Type="http://schemas.openxmlformats.org/officeDocument/2006/relationships/hyperlink" Target="https://www.google.com/maps/search/?api=1&amp;query=25.801018,-80.199493" TargetMode="External" Id="rId244"/><Relationship Type="http://schemas.openxmlformats.org/officeDocument/2006/relationships/hyperlink" Target="https://thewynwoodwalls.com/" TargetMode="External" Id="rId245"/><Relationship Type="http://schemas.openxmlformats.org/officeDocument/2006/relationships/hyperlink" Target="https://www.yelp.com/biz/wynwood-walls-miami" TargetMode="External" Id="rId246"/><Relationship Type="http://schemas.openxmlformats.org/officeDocument/2006/relationships/hyperlink" Target="https://www.instagram.com/wynwoodwallsofficial/" TargetMode="External" Id="rId247"/></Relationships>
</file>

<file path=xl/worksheets/_rels/sheet3.xml.rels><Relationships xmlns="http://schemas.openxmlformats.org/package/2006/relationships"><Relationship Type="http://schemas.openxmlformats.org/officeDocument/2006/relationships/hyperlink" Target="https://www.google.com/maps/search/?api=1&amp;query=25.7987088,-80.214203" TargetMode="External" Id="rId1"/><Relationship Type="http://schemas.openxmlformats.org/officeDocument/2006/relationships/hyperlink" Target="https://www.google.com/maps/search/?api=1&amp;query=25.7991925,-80.2138844" TargetMode="External" Id="rId2"/><Relationship Type="http://schemas.openxmlformats.org/officeDocument/2006/relationships/hyperlink" Target="https://www.google.com/maps/search/?api=1&amp;query=25.79175,-80.149086" TargetMode="External" Id="rId3"/><Relationship Type="http://schemas.openxmlformats.org/officeDocument/2006/relationships/hyperlink" Target="https://www.google.com/maps/search/?api=1&amp;query=25.7676777,-80.1930011" TargetMode="External" Id="rId4"/><Relationship Type="http://schemas.openxmlformats.org/officeDocument/2006/relationships/hyperlink" Target="https://www.google.com/maps/search/?api=1&amp;query=25.7656196,-80.1901639" TargetMode="External" Id="rId5"/><Relationship Type="http://schemas.openxmlformats.org/officeDocument/2006/relationships/hyperlink" Target="https://www.google.com/maps/search/?api=1&amp;query=25.769381,-80.189919" TargetMode="External" Id="rId6"/><Relationship Type="http://schemas.openxmlformats.org/officeDocument/2006/relationships/hyperlink" Target="https://www.google.com/maps/search/?api=1&amp;query=25.7651768,-80.1908292" TargetMode="External" Id="rId7"/><Relationship Type="http://schemas.openxmlformats.org/officeDocument/2006/relationships/hyperlink" Target="https://www.google.com/maps/search/?api=1&amp;query=25.7643527,-80.1930513" TargetMode="External" Id="rId8"/><Relationship Type="http://schemas.openxmlformats.org/officeDocument/2006/relationships/hyperlink" Target="https://www.google.com/maps/search/?api=1&amp;query=25.766606,-80.1928702" TargetMode="External" Id="rId9"/><Relationship Type="http://schemas.openxmlformats.org/officeDocument/2006/relationships/hyperlink" Target="https://www.google.com/maps/search/?api=1&amp;query=25.7666577,-80.1927661" TargetMode="External" Id="rId10"/><Relationship Type="http://schemas.openxmlformats.org/officeDocument/2006/relationships/hyperlink" Target="https://www.google.com/maps/search/?api=1&amp;query=25.727493,-80.243396" TargetMode="External" Id="rId11"/><Relationship Type="http://schemas.openxmlformats.org/officeDocument/2006/relationships/hyperlink" Target="https://www.google.com/maps/search/?api=1&amp;query=25.7284643,-80.2339205" TargetMode="External" Id="rId12"/><Relationship Type="http://schemas.openxmlformats.org/officeDocument/2006/relationships/hyperlink" Target="https://www.google.com/maps/search/?api=1&amp;query=25.7152781,-80.2503978" TargetMode="External" Id="rId13"/><Relationship Type="http://schemas.openxmlformats.org/officeDocument/2006/relationships/hyperlink" Target="https://www.google.com/maps/search/?api=1&amp;query=25.7538553,-80.2611351" TargetMode="External" Id="rId14"/><Relationship Type="http://schemas.openxmlformats.org/officeDocument/2006/relationships/hyperlink" Target="https://www.google.com/maps/search/?api=1&amp;query=25.7506451,-80.2600624" TargetMode="External" Id="rId15"/><Relationship Type="http://schemas.openxmlformats.org/officeDocument/2006/relationships/hyperlink" Target="https://www.google.com/maps/search/?api=1&amp;query=25.7428751,-80.278489" TargetMode="External" Id="rId16"/><Relationship Type="http://schemas.openxmlformats.org/officeDocument/2006/relationships/hyperlink" Target="https://www.google.com/maps/search/?api=1&amp;query=25.7514867,-80.2570634" TargetMode="External" Id="rId17"/><Relationship Type="http://schemas.openxmlformats.org/officeDocument/2006/relationships/hyperlink" Target="https://www.google.com/maps/search/?api=1&amp;query=25.749713,-80.255427" TargetMode="External" Id="rId18"/><Relationship Type="http://schemas.openxmlformats.org/officeDocument/2006/relationships/hyperlink" Target="https://www.google.com/maps/search/?api=1&amp;query=25.676931,-80.272789" TargetMode="External" Id="rId19"/><Relationship Type="http://schemas.openxmlformats.org/officeDocument/2006/relationships/hyperlink" Target="https://www.google.com/maps/search/?api=1&amp;query=25.7514197,-80.257631" TargetMode="External" Id="rId20"/><Relationship Type="http://schemas.openxmlformats.org/officeDocument/2006/relationships/hyperlink" Target="https://www.google.com/maps/search/?api=1&amp;query=25.7461508,-80.221873" TargetMode="External" Id="rId21"/><Relationship Type="http://schemas.openxmlformats.org/officeDocument/2006/relationships/hyperlink" Target="https://www.google.com/maps/search/?api=1&amp;query=25.8132334,-80.1944904" TargetMode="External" Id="rId22"/><Relationship Type="http://schemas.openxmlformats.org/officeDocument/2006/relationships/hyperlink" Target="https://www.google.com/maps/search/?api=1&amp;query=25.8143585,-80.1942981" TargetMode="External" Id="rId23"/><Relationship Type="http://schemas.openxmlformats.org/officeDocument/2006/relationships/hyperlink" Target="https://www.google.com/maps/search/?api=1&amp;query=25.811964,-80.193276" TargetMode="External" Id="rId24"/><Relationship Type="http://schemas.openxmlformats.org/officeDocument/2006/relationships/hyperlink" Target="https://www.google.com/maps/search/?api=1&amp;query=25.8123753,-80.1924115" TargetMode="External" Id="rId25"/><Relationship Type="http://schemas.openxmlformats.org/officeDocument/2006/relationships/hyperlink" Target="https://www.google.com/maps/search/?api=1&amp;query=25.7784792,-80.1867682" TargetMode="External" Id="rId26"/><Relationship Type="http://schemas.openxmlformats.org/officeDocument/2006/relationships/hyperlink" Target="https://www.google.com/maps/search/?api=1&amp;query=25.79118,-80.1966257" TargetMode="External" Id="rId27"/><Relationship Type="http://schemas.openxmlformats.org/officeDocument/2006/relationships/hyperlink" Target="https://www.google.com/maps/search/?api=1&amp;query=25.7849579,-80.1935969" TargetMode="External" Id="rId28"/><Relationship Type="http://schemas.openxmlformats.org/officeDocument/2006/relationships/hyperlink" Target="https://www.google.com/maps/search/?api=1&amp;query=25.7757584,-80.1960776" TargetMode="External" Id="rId29"/><Relationship Type="http://schemas.openxmlformats.org/officeDocument/2006/relationships/hyperlink" Target="https://www.google.com/maps/search/?api=1&amp;query=25.7813595,-80.1879435" TargetMode="External" Id="rId30"/><Relationship Type="http://schemas.openxmlformats.org/officeDocument/2006/relationships/hyperlink" Target="https://www.google.com/maps/search/?api=1&amp;query=25.7743673,-80.1907341" TargetMode="External" Id="rId31"/><Relationship Type="http://schemas.openxmlformats.org/officeDocument/2006/relationships/hyperlink" Target="https://www.google.com/maps/search/?api=1&amp;query=25.774428,-80.190885" TargetMode="External" Id="rId32"/><Relationship Type="http://schemas.openxmlformats.org/officeDocument/2006/relationships/hyperlink" Target="https://www.google.com/maps/search/?api=1&amp;query=25.7859809,-80.1862693" TargetMode="External" Id="rId33"/><Relationship Type="http://schemas.openxmlformats.org/officeDocument/2006/relationships/hyperlink" Target="https://www.google.com/maps/search/?api=1&amp;query=25.7839,-80.1869" TargetMode="External" Id="rId34"/><Relationship Type="http://schemas.openxmlformats.org/officeDocument/2006/relationships/hyperlink" Target="https://www.google.com/maps/search/?api=1&amp;query=25.784656,-80.193897" TargetMode="External" Id="rId35"/><Relationship Type="http://schemas.openxmlformats.org/officeDocument/2006/relationships/hyperlink" Target="https://www.google.com/maps/search/?api=1&amp;query=25.791406,-80.194302" TargetMode="External" Id="rId36"/><Relationship Type="http://schemas.openxmlformats.org/officeDocument/2006/relationships/hyperlink" Target="https://www.google.com/maps/search/?api=1&amp;query=25.8395301,-80.2079248" TargetMode="External" Id="rId37"/><Relationship Type="http://schemas.openxmlformats.org/officeDocument/2006/relationships/hyperlink" Target="https://www.google.com/maps/search/?api=1&amp;query=25.8263434,-80.1917894" TargetMode="External" Id="rId38"/><Relationship Type="http://schemas.openxmlformats.org/officeDocument/2006/relationships/hyperlink" Target="https://www.google.com/maps/search/?api=1&amp;query=25.7658068,-80.2197761" TargetMode="External" Id="rId39"/><Relationship Type="http://schemas.openxmlformats.org/officeDocument/2006/relationships/hyperlink" Target="https://www.google.com/maps/search/?api=1&amp;query=25.8421983,-80.2005557" TargetMode="External" Id="rId40"/><Relationship Type="http://schemas.openxmlformats.org/officeDocument/2006/relationships/hyperlink" Target="https://www.google.com/maps/search/?api=1&amp;query=25.8531665,-80.1933545" TargetMode="External" Id="rId41"/><Relationship Type="http://schemas.openxmlformats.org/officeDocument/2006/relationships/hyperlink" Target="https://www.google.com/maps/search/?api=1&amp;query=25.8090466,-80.1910054" TargetMode="External" Id="rId42"/><Relationship Type="http://schemas.openxmlformats.org/officeDocument/2006/relationships/hyperlink" Target="https://www.google.com/maps/search/?api=1&amp;query=25.782431,-80.191854" TargetMode="External" Id="rId43"/><Relationship Type="http://schemas.openxmlformats.org/officeDocument/2006/relationships/hyperlink" Target="https://www.google.com/maps/search/?api=1&amp;query=25.6554818,-80.3268453" TargetMode="External" Id="rId44"/><Relationship Type="http://schemas.openxmlformats.org/officeDocument/2006/relationships/hyperlink" Target="https://www.google.com/maps/search/?api=1&amp;query=25.7887693,-80.1416261" TargetMode="External" Id="rId45"/><Relationship Type="http://schemas.openxmlformats.org/officeDocument/2006/relationships/hyperlink" Target="https://www.google.com/maps/search/?api=1&amp;query=25.8045422,-80.1263489" TargetMode="External" Id="rId46"/><Relationship Type="http://schemas.openxmlformats.org/officeDocument/2006/relationships/hyperlink" Target="https://www.google.com/maps/search/?api=1&amp;query=25.7870053,-80.1320681" TargetMode="External" Id="rId47"/><Relationship Type="http://schemas.openxmlformats.org/officeDocument/2006/relationships/hyperlink" Target="https://www.google.com/maps/search/?api=1&amp;query=25.7806133,-80.1298933" TargetMode="External" Id="rId48"/><Relationship Type="http://schemas.openxmlformats.org/officeDocument/2006/relationships/hyperlink" Target="https://www.google.com/maps/search/?api=1&amp;query=25.7852938,-80.1314647" TargetMode="External" Id="rId49"/><Relationship Type="http://schemas.openxmlformats.org/officeDocument/2006/relationships/hyperlink" Target="https://www.google.com/maps/search/?api=1&amp;query=25.7914055,-80.1300535" TargetMode="External" Id="rId50"/><Relationship Type="http://schemas.openxmlformats.org/officeDocument/2006/relationships/hyperlink" Target="https://www.google.com/maps/search/?api=1&amp;query=25.7973966,-80.1299536" TargetMode="External" Id="rId51"/><Relationship Type="http://schemas.openxmlformats.org/officeDocument/2006/relationships/hyperlink" Target="https://www.google.com/maps/search/?api=1&amp;query=25.785967,-80.134925" TargetMode="External" Id="rId52"/><Relationship Type="http://schemas.openxmlformats.org/officeDocument/2006/relationships/hyperlink" Target="https://www.google.com/maps/search/?api=1&amp;query=25.7747548,-80.1358438" TargetMode="External" Id="rId53"/><Relationship Type="http://schemas.openxmlformats.org/officeDocument/2006/relationships/hyperlink" Target="https://www.google.com/maps/search/?api=1&amp;query=25.7861775,-80.1746936" TargetMode="External" Id="rId54"/><Relationship Type="http://schemas.openxmlformats.org/officeDocument/2006/relationships/hyperlink" Target="https://www.google.com/maps/search/?api=1&amp;query=25.786155,-80.174993" TargetMode="External" Id="rId55"/><Relationship Type="http://schemas.openxmlformats.org/officeDocument/2006/relationships/hyperlink" Target="https://www.google.com/maps/search/?api=1&amp;query=25.7993233,-80.1979686" TargetMode="External" Id="rId56"/><Relationship Type="http://schemas.openxmlformats.org/officeDocument/2006/relationships/hyperlink" Target="https://www.google.com/maps/search/?api=1&amp;query=25.8011178,-80.2037057" TargetMode="External" Id="rId57"/><Relationship Type="http://schemas.openxmlformats.org/officeDocument/2006/relationships/hyperlink" Target="https://www.google.com/maps/search/?api=1&amp;query=25.7982083,-80.1990834" TargetMode="External" Id="rId58"/><Relationship Type="http://schemas.openxmlformats.org/officeDocument/2006/relationships/hyperlink" Target="https://www.google.com/maps/search/?api=1&amp;query=25.802408,-80.2016552" TargetMode="External" Id="rId59"/><Relationship Type="http://schemas.openxmlformats.org/officeDocument/2006/relationships/hyperlink" Target="https://www.google.com/maps/search/?api=1&amp;query=25.79994,-80.199245" TargetMode="External" Id="rId60"/><Relationship Type="http://schemas.openxmlformats.org/officeDocument/2006/relationships/hyperlink" Target="https://www.google.com/maps/search/?api=1&amp;query=25.7994517,-80.1960754" TargetMode="External" Id="rId61"/><Relationship Type="http://schemas.openxmlformats.org/officeDocument/2006/relationships/hyperlink" Target="https://www.google.com/maps/search/?api=1&amp;query=25.801018,-80.199493" TargetMode="External" Id="rId62"/></Relationships>
</file>

<file path=xl/worksheets/_rels/sheet4.xml.rels><Relationships xmlns="http://schemas.openxmlformats.org/package/2006/relationships"><Relationship Type="http://schemas.openxmlformats.org/officeDocument/2006/relationships/hyperlink" Target="https://rubellmuseum.org/" TargetMode="External" Id="rId1"/><Relationship Type="http://schemas.openxmlformats.org/officeDocument/2006/relationships/hyperlink" Target="https://www.google.com/search?q=Rubell+Museum+Miami+reviews" TargetMode="External" Id="rId2"/><Relationship Type="http://schemas.openxmlformats.org/officeDocument/2006/relationships/hyperlink" Target="https://www.instagram.com/rubellmuseum/" TargetMode="External" Id="rId3"/><Relationship Type="http://schemas.openxmlformats.org/officeDocument/2006/relationships/hyperlink" Target="https://www.superblue.com/" TargetMode="External" Id="rId4"/><Relationship Type="http://schemas.openxmlformats.org/officeDocument/2006/relationships/hyperlink" Target="https://www.yelp.com/biz/superblue-miami-miami-2" TargetMode="External" Id="rId5"/><Relationship Type="http://schemas.openxmlformats.org/officeDocument/2006/relationships/hyperlink" Target="https://www.instagram.com/superbluemiami/" TargetMode="External" Id="rId6"/><Relationship Type="http://schemas.openxmlformats.org/officeDocument/2006/relationships/hyperlink" Target="https://www.standardhotels.com/miami/properties/miami-beach" TargetMode="External" Id="rId7"/><Relationship Type="http://schemas.openxmlformats.org/officeDocument/2006/relationships/hyperlink" Target="https://www.yelp.com/biz/the-standard-spa-hotel-miami-beach" TargetMode="External" Id="rId8"/><Relationship Type="http://schemas.openxmlformats.org/officeDocument/2006/relationships/hyperlink" Target="https://www.instagram.com/thestandardmiami/" TargetMode="External" Id="rId9"/><Relationship Type="http://schemas.openxmlformats.org/officeDocument/2006/relationships/hyperlink" Target="https://brickellcitycentre.com/" TargetMode="External" Id="rId10"/><Relationship Type="http://schemas.openxmlformats.org/officeDocument/2006/relationships/hyperlink" Target="https://www.google.com/search?q=Brickell+City+Centre+Miami+reviews" TargetMode="External" Id="rId11"/><Relationship Type="http://schemas.openxmlformats.org/officeDocument/2006/relationships/hyperlink" Target="https://www.instagram.com/brickellcitycentre/" TargetMode="External" Id="rId12"/><Relationship Type="http://schemas.openxmlformats.org/officeDocument/2006/relationships/hyperlink" Target="https://komodomiami.com/" TargetMode="External" Id="rId13"/><Relationship Type="http://schemas.openxmlformats.org/officeDocument/2006/relationships/hyperlink" Target="https://www.google.com/search?q=Komodo+Miami+Brickell+reviews" TargetMode="External" Id="rId14"/><Relationship Type="http://schemas.openxmlformats.org/officeDocument/2006/relationships/hyperlink" Target="https://www.instagram.com/komodomiami/" TargetMode="External" Id="rId15"/><Relationship Type="http://schemas.openxmlformats.org/officeDocument/2006/relationships/hyperlink" Target="https://dos.fl.gov/historical/archaeology/projects/miami-circle/" TargetMode="External" Id="rId16"/><Relationship Type="http://schemas.openxmlformats.org/officeDocument/2006/relationships/hyperlink" Target="https://www.google.com/search?q=Miami+Circle+Park+Brickell+reviews" TargetMode="External" Id="rId17"/><Relationship Type="http://schemas.openxmlformats.org/officeDocument/2006/relationships/hyperlink" Target="https://www.pasiondelcielo.com/" TargetMode="External" Id="rId18"/><Relationship Type="http://schemas.openxmlformats.org/officeDocument/2006/relationships/hyperlink" Target="https://www.google.com/maps/search/?api=1&amp;query=Pasion+del+Cielo+Coffee+907+Brickell+Ave+Miami+FL" TargetMode="External" Id="rId19"/><Relationship Type="http://schemas.openxmlformats.org/officeDocument/2006/relationships/hyperlink" Target="https://www.instagram.com/pasiondelcielocoffee/" TargetMode="External" Id="rId20"/><Relationship Type="http://schemas.openxmlformats.org/officeDocument/2006/relationships/hyperlink" Target="https://sexyfishmiami.com/" TargetMode="External" Id="rId21"/><Relationship Type="http://schemas.openxmlformats.org/officeDocument/2006/relationships/hyperlink" Target="https://www.google.com/search?q=Sexy+Fish+Miami+reviews" TargetMode="External" Id="rId22"/><Relationship Type="http://schemas.openxmlformats.org/officeDocument/2006/relationships/hyperlink" Target="https://www.instagram.com/sexyfishmiami/" TargetMode="External" Id="rId23"/><Relationship Type="http://schemas.openxmlformats.org/officeDocument/2006/relationships/hyperlink" Target="https://www.easthotels.com/en/miami/restaurants-and-bars/sugar/" TargetMode="External" Id="rId24"/><Relationship Type="http://schemas.openxmlformats.org/officeDocument/2006/relationships/hyperlink" Target="https://www.yelp.com/biz/sugar-miami-2" TargetMode="External" Id="rId25"/><Relationship Type="http://schemas.openxmlformats.org/officeDocument/2006/relationships/hyperlink" Target="https://www.instagram.com/sugar.rooftop/" TargetMode="External" Id="rId26"/><Relationship Type="http://schemas.openxmlformats.org/officeDocument/2006/relationships/hyperlink" Target="https://www.easthotels.com/en/miami/restaurants-and-bars/tea-room/" TargetMode="External" Id="rId27"/><Relationship Type="http://schemas.openxmlformats.org/officeDocument/2006/relationships/hyperlink" Target="https://www.google.com/search?q=Tea+Room+EAST+Miami+788+Brickell+Plaza+reviews" TargetMode="External" Id="rId28"/><Relationship Type="http://schemas.openxmlformats.org/officeDocument/2006/relationships/hyperlink" Target="https://www.instagram.com/tearoom.mia/" TargetMode="External" Id="rId29"/><Relationship Type="http://schemas.openxmlformats.org/officeDocument/2006/relationships/hyperlink" Target="https://www.midoriemiami.com/" TargetMode="External" Id="rId30"/><Relationship Type="http://schemas.openxmlformats.org/officeDocument/2006/relationships/hyperlink" Target="https://www.google.com/maps/search/?api=1&amp;query=Midorie+Miami+3444+Main+Hwy+Miami+FL" TargetMode="External" Id="rId31"/><Relationship Type="http://schemas.openxmlformats.org/officeDocument/2006/relationships/hyperlink" Target="https://www.instagram.com/midorie_miami/" TargetMode="External" Id="rId32"/><Relationship Type="http://schemas.openxmlformats.org/officeDocument/2006/relationships/hyperlink" Target="https://www.regattaharbour.com/" TargetMode="External" Id="rId33"/><Relationship Type="http://schemas.openxmlformats.org/officeDocument/2006/relationships/hyperlink" Target="https://www.google.com/maps/search/?api=1&amp;query=Regatta+Harbour+3385+Pan+American+Dr+Miami+FL" TargetMode="External" Id="rId34"/><Relationship Type="http://schemas.openxmlformats.org/officeDocument/2006/relationships/hyperlink" Target="https://www.instagram.com/regattaharbour/" TargetMode="External" Id="rId35"/><Relationship Type="http://schemas.openxmlformats.org/officeDocument/2006/relationships/hyperlink" Target="https://ntbg.org/gardens/kampong/" TargetMode="External" Id="rId36"/><Relationship Type="http://schemas.openxmlformats.org/officeDocument/2006/relationships/hyperlink" Target="https://www.google.com/search?q=The+Kampong+4013+S+Douglas+Rd+Coconut+Grove+reviews" TargetMode="External" Id="rId37"/><Relationship Type="http://schemas.openxmlformats.org/officeDocument/2006/relationships/hyperlink" Target="https://www.instagram.com/thekampong/" TargetMode="External" Id="rId38"/><Relationship Type="http://schemas.openxmlformats.org/officeDocument/2006/relationships/hyperlink" Target="https://antoniobachour.com/" TargetMode="External" Id="rId39"/><Relationship Type="http://schemas.openxmlformats.org/officeDocument/2006/relationships/hyperlink" Target="https://www.yelp.com/biz/bachour-coral-gables" TargetMode="External" Id="rId40"/><Relationship Type="http://schemas.openxmlformats.org/officeDocument/2006/relationships/hyperlink" Target="https://www.instagram.com/bachourmiami/" TargetMode="External" Id="rId41"/><Relationship Type="http://schemas.openxmlformats.org/officeDocument/2006/relationships/hyperlink" Target="https://www.booksandbooks.com/" TargetMode="External" Id="rId42"/><Relationship Type="http://schemas.openxmlformats.org/officeDocument/2006/relationships/hyperlink" Target="https://www.google.com/search?q=Books+%26+Books+265+Aragon+Ave+Coral+Gables+reviews" TargetMode="External" Id="rId43"/><Relationship Type="http://schemas.openxmlformats.org/officeDocument/2006/relationships/hyperlink" Target="https://www.instagram.com/booksandbooks/" TargetMode="External" Id="rId44"/><Relationship Type="http://schemas.openxmlformats.org/officeDocument/2006/relationships/hyperlink" Target="https://gablesucc.org/" TargetMode="External" Id="rId45"/><Relationship Type="http://schemas.openxmlformats.org/officeDocument/2006/relationships/hyperlink" Target="https://www.google.com/search?q=Coral+Gables+Congregational+Church+3010+De+Soto+Blvd+reviews" TargetMode="External" Id="rId46"/><Relationship Type="http://schemas.openxmlformats.org/officeDocument/2006/relationships/hyperlink" Target="https://www.instagram.com/coralgablesucc/" TargetMode="External" Id="rId47"/><Relationship Type="http://schemas.openxmlformats.org/officeDocument/2006/relationships/hyperlink" Target="https://www.coralgables.com/attractions/giralda-plaza" TargetMode="External" Id="rId48"/><Relationship Type="http://schemas.openxmlformats.org/officeDocument/2006/relationships/hyperlink" Target="https://www.google.com/maps/search/?api=1&amp;query=Giralda+Plaza+Coral+Gables+FL" TargetMode="External" Id="rId49"/><Relationship Type="http://schemas.openxmlformats.org/officeDocument/2006/relationships/hyperlink" Target="https://www.instagram.com/giraldaplaza/" TargetMode="External" Id="rId50"/><Relationship Type="http://schemas.openxmlformats.org/officeDocument/2006/relationships/hyperlink" Target="https://www.coralgables.com/attractions/miracle-mile" TargetMode="External" Id="rId51"/><Relationship Type="http://schemas.openxmlformats.org/officeDocument/2006/relationships/hyperlink" Target="https://www.google.com/maps/search/?api=1&amp;query=Miracle+Mile+Coral+Gables+FL" TargetMode="External" Id="rId52"/><Relationship Type="http://schemas.openxmlformats.org/officeDocument/2006/relationships/hyperlink" Target="https://www.instagram.com/cityofcoralgables/" TargetMode="External" Id="rId53"/><Relationship Type="http://schemas.openxmlformats.org/officeDocument/2006/relationships/hyperlink" Target="https://fairchildgarden.org/" TargetMode="External" Id="rId54"/><Relationship Type="http://schemas.openxmlformats.org/officeDocument/2006/relationships/hyperlink" Target="https://www.google.com/search?q=Fairchild+Tropical+Botanic+Garden+reviews" TargetMode="External" Id="rId55"/><Relationship Type="http://schemas.openxmlformats.org/officeDocument/2006/relationships/hyperlink" Target="https://www.instagram.com/fairchildgarden/" TargetMode="External" Id="rId56"/><Relationship Type="http://schemas.openxmlformats.org/officeDocument/2006/relationships/hyperlink" Target="https://www.threefoldcafe.com/" TargetMode="External" Id="rId57"/><Relationship Type="http://schemas.openxmlformats.org/officeDocument/2006/relationships/hyperlink" Target="https://www.google.com/search?q=Threefold+Cafe+141+Giralda+Ave+Coral+Gables+reviews" TargetMode="External" Id="rId58"/><Relationship Type="http://schemas.openxmlformats.org/officeDocument/2006/relationships/hyperlink" Target="https://www.instagram.com/threefoldcafe/" TargetMode="External" Id="rId59"/><Relationship Type="http://schemas.openxmlformats.org/officeDocument/2006/relationships/hyperlink" Target="https://el-carajo.com/" TargetMode="External" Id="rId60"/><Relationship Type="http://schemas.openxmlformats.org/officeDocument/2006/relationships/hyperlink" Target="https://www.google.com/maps/search/?api=1&amp;query=El+Carajo+2465+SW+17th+Ave+Miami+FL" TargetMode="External" Id="rId61"/><Relationship Type="http://schemas.openxmlformats.org/officeDocument/2006/relationships/hyperlink" Target="https://www.instagram.com/theelcarajo/" TargetMode="External" Id="rId62"/><Relationship Type="http://schemas.openxmlformats.org/officeDocument/2006/relationships/hyperlink" Target="https://dalezine.com/" TargetMode="External" Id="rId63"/><Relationship Type="http://schemas.openxmlformats.org/officeDocument/2006/relationships/hyperlink" Target="https://www.google.com/search?q=Dale+Zine+50+NE+40th+St+Miami+reviews" TargetMode="External" Id="rId64"/><Relationship Type="http://schemas.openxmlformats.org/officeDocument/2006/relationships/hyperlink" Target="https://www.instagram.com/dale_zine/" TargetMode="External" Id="rId65"/><Relationship Type="http://schemas.openxmlformats.org/officeDocument/2006/relationships/hyperlink" Target="https://icamiami.org/" TargetMode="External" Id="rId66"/><Relationship Type="http://schemas.openxmlformats.org/officeDocument/2006/relationships/hyperlink" Target="https://www.yelp.com/biz/institute-of-contemporary-art-miami-miami-2" TargetMode="External" Id="rId67"/><Relationship Type="http://schemas.openxmlformats.org/officeDocument/2006/relationships/hyperlink" Target="https://www.instagram.com/icamiami/" TargetMode="External" Id="rId68"/><Relationship Type="http://schemas.openxmlformats.org/officeDocument/2006/relationships/hyperlink" Target="https://www.miamidesigndistrict.com/event-venue/742/jungle-plaza/" TargetMode="External" Id="rId69"/><Relationship Type="http://schemas.openxmlformats.org/officeDocument/2006/relationships/hyperlink" Target="https://www.google.com/maps/search/?api=1&amp;query=Jungle+Plaza+3801+NE+1st+Ave+Miami+FL" TargetMode="External" Id="rId70"/><Relationship Type="http://schemas.openxmlformats.org/officeDocument/2006/relationships/hyperlink" Target="https://www.instagram.com/miamidesigndistrict/" TargetMode="External" Id="rId71"/><Relationship Type="http://schemas.openxmlformats.org/officeDocument/2006/relationships/hyperlink" Target="https://www.miamidesigndistrict.com/" TargetMode="External" Id="rId72"/><Relationship Type="http://schemas.openxmlformats.org/officeDocument/2006/relationships/hyperlink" Target="https://www.google.com/search?q=Miami+Design+District+reviews" TargetMode="External" Id="rId73"/><Relationship Type="http://schemas.openxmlformats.org/officeDocument/2006/relationships/hyperlink" Target="https://www.instagram.com/miamidesigndistrict/" TargetMode="External" Id="rId74"/><Relationship Type="http://schemas.openxmlformats.org/officeDocument/2006/relationships/hyperlink" Target="https://baysidemarketplace.com/" TargetMode="External" Id="rId75"/><Relationship Type="http://schemas.openxmlformats.org/officeDocument/2006/relationships/hyperlink" Target="https://www.google.com/search?q=Bayside+Marketplace+Miami+reviews" TargetMode="External" Id="rId76"/><Relationship Type="http://schemas.openxmlformats.org/officeDocument/2006/relationships/hyperlink" Target="https://www.instagram.com/baysidemarketplace/" TargetMode="External" Id="rId77"/><Relationship Type="http://schemas.openxmlformats.org/officeDocument/2006/relationships/hyperlink" Target="https://www.gobrightline.com/" TargetMode="External" Id="rId78"/><Relationship Type="http://schemas.openxmlformats.org/officeDocument/2006/relationships/hyperlink" Target="https://www.google.com/maps/search/?api=1&amp;query=Citizens+MiamiCentral+600+NW+1st+Ave+Miami+FL" TargetMode="External" Id="rId79"/><Relationship Type="http://schemas.openxmlformats.org/officeDocument/2006/relationships/hyperlink" Target="https://www.instagram.com/citizens_miamicentral/" TargetMode="External" Id="rId80"/><Relationship Type="http://schemas.openxmlformats.org/officeDocument/2006/relationships/hyperlink" Target="https://www.11miami.com/" TargetMode="External" Id="rId81"/><Relationship Type="http://schemas.openxmlformats.org/officeDocument/2006/relationships/hyperlink" Target="https://www.yelp.com/biz/e11even-miami-4" TargetMode="External" Id="rId82"/><Relationship Type="http://schemas.openxmlformats.org/officeDocument/2006/relationships/hyperlink" Target="https://www.instagram.com/11miami/" TargetMode="External" Id="rId83"/><Relationship Type="http://schemas.openxmlformats.org/officeDocument/2006/relationships/hyperlink" Target="https://www.miamidade.gov/transportation-publicworks/metrorail-stations.asp" TargetMode="External" Id="rId84"/><Relationship Type="http://schemas.openxmlformats.org/officeDocument/2006/relationships/hyperlink" Target="https://www.google.com/maps/search/?api=1&amp;query=Government+Center+Station+101+NW+1st+St+Miami+FL" TargetMode="External" Id="rId85"/><Relationship Type="http://schemas.openxmlformats.org/officeDocument/2006/relationships/hyperlink" Target="https://www.instagram.com/miamidadetransit/" TargetMode="External" Id="rId86"/><Relationship Type="http://schemas.openxmlformats.org/officeDocument/2006/relationships/hyperlink" Target="https://www.kaseyacenter.com/" TargetMode="External" Id="rId87"/><Relationship Type="http://schemas.openxmlformats.org/officeDocument/2006/relationships/hyperlink" Target="https://www.google.com/maps/search/?api=1&amp;query=Kaseya+Center+601+Biscayne+Blvd+Miami+FL" TargetMode="External" Id="rId88"/><Relationship Type="http://schemas.openxmlformats.org/officeDocument/2006/relationships/hyperlink" Target="https://www.instagram.com/kaseyacenter/" TargetMode="External" Id="rId89"/><Relationship Type="http://schemas.openxmlformats.org/officeDocument/2006/relationships/hyperlink" Target="https://www.lostboydrygoods.com/" TargetMode="External" Id="rId90"/><Relationship Type="http://schemas.openxmlformats.org/officeDocument/2006/relationships/hyperlink" Target="https://www.google.com/search?q=Lost+Boy+Dry+Goods+Miami+157+E+Flagler+St+reviews" TargetMode="External" Id="rId91"/><Relationship Type="http://schemas.openxmlformats.org/officeDocument/2006/relationships/hyperlink" Target="https://www.instagram.com/lostboydrygoods/" TargetMode="External" Id="rId92"/><Relationship Type="http://schemas.openxmlformats.org/officeDocument/2006/relationships/hyperlink" Target="https://overundermiami.com/" TargetMode="External" Id="rId93"/><Relationship Type="http://schemas.openxmlformats.org/officeDocument/2006/relationships/hyperlink" Target="https://www.google.com/search?q=Over+Under+Miami+151+E+Flagler+St+reviews" TargetMode="External" Id="rId94"/><Relationship Type="http://schemas.openxmlformats.org/officeDocument/2006/relationships/hyperlink" Target="https://www.instagram.com/overundermiami/" TargetMode="External" Id="rId95"/><Relationship Type="http://schemas.openxmlformats.org/officeDocument/2006/relationships/hyperlink" Target="https://www.pamm.org/" TargetMode="External" Id="rId96"/><Relationship Type="http://schemas.openxmlformats.org/officeDocument/2006/relationships/hyperlink" Target="https://www.yelp.com/biz/p%C3%A9rez-art-museum-miami-miami-7" TargetMode="External" Id="rId97"/><Relationship Type="http://schemas.openxmlformats.org/officeDocument/2006/relationships/hyperlink" Target="https://www.instagram.com/pamm/" TargetMode="External" Id="rId98"/><Relationship Type="http://schemas.openxmlformats.org/officeDocument/2006/relationships/hyperlink" Target="https://www.miami.gov/Parks-Public-Places/Parks-Directory/Maurice-A.-Ferre-Park" TargetMode="External" Id="rId99"/><Relationship Type="http://schemas.openxmlformats.org/officeDocument/2006/relationships/hyperlink" Target="https://www.google.com/maps/search/?api=1&amp;query=Maurice+A.+Ferre+Park+1075+Biscayne+Blvd+Miami+FL" TargetMode="External" Id="rId100"/><Relationship Type="http://schemas.openxmlformats.org/officeDocument/2006/relationships/hyperlink" Target="https://www.instagram.com/miamiparks/" TargetMode="External" Id="rId101"/><Relationship Type="http://schemas.openxmlformats.org/officeDocument/2006/relationships/hyperlink" Target="https://www.thecornermiami.com/" TargetMode="External" Id="rId102"/><Relationship Type="http://schemas.openxmlformats.org/officeDocument/2006/relationships/hyperlink" Target="https://www.google.com/maps/search/?api=1&amp;query=The+Corner+1035+N+Miami+Ave+Miami+FL" TargetMode="External" Id="rId103"/><Relationship Type="http://schemas.openxmlformats.org/officeDocument/2006/relationships/hyperlink" Target="https://www.instagram.com/thecornermiami/" TargetMode="External" Id="rId104"/><Relationship Type="http://schemas.openxmlformats.org/officeDocument/2006/relationships/hyperlink" Target="https://vicecitybean.com/" TargetMode="External" Id="rId105"/><Relationship Type="http://schemas.openxmlformats.org/officeDocument/2006/relationships/hyperlink" Target="https://www.google.com/search?q=Vice+City+Bean+1657+N+Miami+Ave+reviews" TargetMode="External" Id="rId106"/><Relationship Type="http://schemas.openxmlformats.org/officeDocument/2006/relationships/hyperlink" Target="https://www.instagram.com/vicecitybean/" TargetMode="External" Id="rId107"/><Relationship Type="http://schemas.openxmlformats.org/officeDocument/2006/relationships/hyperlink" Target="https://naomismiami.com/" TargetMode="External" Id="rId108"/><Relationship Type="http://schemas.openxmlformats.org/officeDocument/2006/relationships/hyperlink" Target="https://www.google.com/search?q=Naomi%27s+Garden+650+NW+71st+St+Miami+reviews" TargetMode="External" Id="rId109"/><Relationship Type="http://schemas.openxmlformats.org/officeDocument/2006/relationships/hyperlink" Target="https://www.instagram.com/naomismiami/" TargetMode="External" Id="rId110"/><Relationship Type="http://schemas.openxmlformats.org/officeDocument/2006/relationships/hyperlink" Target="https://www.sweatrecordsmiami.com/" TargetMode="External" Id="rId111"/><Relationship Type="http://schemas.openxmlformats.org/officeDocument/2006/relationships/hyperlink" Target="https://www.google.com/search?q=Sweat+Records+5505+NE+2nd+Ave+Miami+reviews" TargetMode="External" Id="rId112"/><Relationship Type="http://schemas.openxmlformats.org/officeDocument/2006/relationships/hyperlink" Target="https://www.instagram.com/sweatrecords/" TargetMode="External" Id="rId113"/><Relationship Type="http://schemas.openxmlformats.org/officeDocument/2006/relationships/hyperlink" Target="https://ballandchainmiami.com/" TargetMode="External" Id="rId114"/><Relationship Type="http://schemas.openxmlformats.org/officeDocument/2006/relationships/hyperlink" Target="https://www.google.com/search?q=Ball+and+Chain+Miami+reviews" TargetMode="External" Id="rId115"/><Relationship Type="http://schemas.openxmlformats.org/officeDocument/2006/relationships/hyperlink" Target="https://www.instagram.com/ballandchainmia/" TargetMode="External" Id="rId116"/><Relationship Type="http://schemas.openxmlformats.org/officeDocument/2006/relationships/hyperlink" Target="https://www.imperialmoto.com/" TargetMode="External" Id="rId117"/><Relationship Type="http://schemas.openxmlformats.org/officeDocument/2006/relationships/hyperlink" Target="https://www.google.com/search?q=Imperial+Moto+Cafe+7299+NW+2nd+Ave+Miami+reviews" TargetMode="External" Id="rId118"/><Relationship Type="http://schemas.openxmlformats.org/officeDocument/2006/relationships/hyperlink" Target="https://www.instagram.com/imperialmoto/" TargetMode="External" Id="rId119"/><Relationship Type="http://schemas.openxmlformats.org/officeDocument/2006/relationships/hyperlink" Target="https://www.plantthefuture.com/" TargetMode="External" Id="rId120"/><Relationship Type="http://schemas.openxmlformats.org/officeDocument/2006/relationships/hyperlink" Target="https://www.google.com/search?q=Plant+the+Future+8484+NE+2nd+Ave+Miami+reviews" TargetMode="External" Id="rId121"/><Relationship Type="http://schemas.openxmlformats.org/officeDocument/2006/relationships/hyperlink" Target="https://www.instagram.com/plantthefuture/" TargetMode="External" Id="rId122"/><Relationship Type="http://schemas.openxmlformats.org/officeDocument/2006/relationships/hyperlink" Target="http://www.lagniappehouse.com/" TargetMode="External" Id="rId123"/><Relationship Type="http://schemas.openxmlformats.org/officeDocument/2006/relationships/hyperlink" Target="https://www.yelp.com/biz/lagniappe-miami-3" TargetMode="External" Id="rId124"/><Relationship Type="http://schemas.openxmlformats.org/officeDocument/2006/relationships/hyperlink" Target="https://www.instagram.com/lagniappehouse/" TargetMode="External" Id="rId125"/><Relationship Type="http://schemas.openxmlformats.org/officeDocument/2006/relationships/hyperlink" Target="https://miamiworldcenter.com/" TargetMode="External" Id="rId126"/><Relationship Type="http://schemas.openxmlformats.org/officeDocument/2006/relationships/hyperlink" Target="https://www.google.com/search?q=Miami+Worldcenter+reviews" TargetMode="External" Id="rId127"/><Relationship Type="http://schemas.openxmlformats.org/officeDocument/2006/relationships/hyperlink" Target="https://www.instagram.com/miamiworldcenter/" TargetMode="External" Id="rId128"/><Relationship Type="http://schemas.openxmlformats.org/officeDocument/2006/relationships/hyperlink" Target="https://www.brewingbuddha.com/" TargetMode="External" Id="rId129"/><Relationship Type="http://schemas.openxmlformats.org/officeDocument/2006/relationships/hyperlink" Target="https://www.google.com/search?q=Brewing+Buddha+Cafe+8219+SW+124th+St+Pinecrest+reviews" TargetMode="External" Id="rId130"/><Relationship Type="http://schemas.openxmlformats.org/officeDocument/2006/relationships/hyperlink" Target="https://www.instagram.com/brewingbuddha/" TargetMode="External" Id="rId131"/><Relationship Type="http://schemas.openxmlformats.org/officeDocument/2006/relationships/hyperlink" Target="https://www.bodegataqueria.com/location/southbeach/" TargetMode="External" Id="rId132"/><Relationship Type="http://schemas.openxmlformats.org/officeDocument/2006/relationships/hyperlink" Target="https://www.google.com/search?q=Bodega+Taqueria+y+Tequila+South+Beach+reviews" TargetMode="External" Id="rId133"/><Relationship Type="http://schemas.openxmlformats.org/officeDocument/2006/relationships/hyperlink" Target="https://www.instagram.com/bodegataqueria/" TargetMode="External" Id="rId134"/><Relationship Type="http://schemas.openxmlformats.org/officeDocument/2006/relationships/hyperlink" Target="https://www.brokenshaker.com/location/miami-hours-and-location/" TargetMode="External" Id="rId135"/><Relationship Type="http://schemas.openxmlformats.org/officeDocument/2006/relationships/hyperlink" Target="https://www.google.com/search?q=Broken+Shaker+2727+Indian+Creek+Dr+Miami+Beach+reviews" TargetMode="External" Id="rId136"/><Relationship Type="http://schemas.openxmlformats.org/officeDocument/2006/relationships/hyperlink" Target="https://www.instagram.com/brokenshaker/" TargetMode="External" Id="rId137"/><Relationship Type="http://schemas.openxmlformats.org/officeDocument/2006/relationships/hyperlink" Target="https://www.experiencemiamibeach.com/local-attractions/espanola-way" TargetMode="External" Id="rId138"/><Relationship Type="http://schemas.openxmlformats.org/officeDocument/2006/relationships/hyperlink" Target="https://www.google.com/maps/search/?api=1&amp;query=Espanola+Way+Miami+Beach+FL" TargetMode="External" Id="rId139"/><Relationship Type="http://schemas.openxmlformats.org/officeDocument/2006/relationships/hyperlink" Target="https://www.instagram.com/espanolaway/" TargetMode="External" Id="rId140"/><Relationship Type="http://schemas.openxmlformats.org/officeDocument/2006/relationships/hyperlink" Target="https://www.miamibeachfl.gov/city-hall/parks-and-recreation/parks-facilities-directory/lummus-park/" TargetMode="External" Id="rId141"/><Relationship Type="http://schemas.openxmlformats.org/officeDocument/2006/relationships/hyperlink" Target="https://www.google.com/search?q=Lummus+Park+Miami+Beach+reviews" TargetMode="External" Id="rId142"/><Relationship Type="http://schemas.openxmlformats.org/officeDocument/2006/relationships/hyperlink" Target="https://www.instagram.com/cityofmiamibeach/" TargetMode="External" Id="rId143"/><Relationship Type="http://schemas.openxmlformats.org/officeDocument/2006/relationships/hyperlink" Target="https://www.macsclubdeuce.com/" TargetMode="External" Id="rId144"/><Relationship Type="http://schemas.openxmlformats.org/officeDocument/2006/relationships/hyperlink" Target="https://www.google.com/search?q=Mac%27s+Club+Deuce+222+14th+St+Miami+Beach+reviews" TargetMode="External" Id="rId145"/><Relationship Type="http://schemas.openxmlformats.org/officeDocument/2006/relationships/hyperlink" Target="https://www.instagram.com/macsclubdeuce/" TargetMode="External" Id="rId146"/><Relationship Type="http://schemas.openxmlformats.org/officeDocument/2006/relationships/hyperlink" Target="https://www.rosettabakery.com/" TargetMode="External" Id="rId147"/><Relationship Type="http://schemas.openxmlformats.org/officeDocument/2006/relationships/hyperlink" Target="https://www.google.com/search?q=Rosetta+Bakery+1666+Collins+Ave+Miami+Beach+reviews" TargetMode="External" Id="rId148"/><Relationship Type="http://schemas.openxmlformats.org/officeDocument/2006/relationships/hyperlink" Target="https://www.instagram.com/rosettabakery/" TargetMode="External" Id="rId149"/><Relationship Type="http://schemas.openxmlformats.org/officeDocument/2006/relationships/hyperlink" Target="https://thebass.org/" TargetMode="External" Id="rId150"/><Relationship Type="http://schemas.openxmlformats.org/officeDocument/2006/relationships/hyperlink" Target="https://www.google.com/search?q=The+Bass+Museum+Miami+Beach+reviews" TargetMode="External" Id="rId151"/><Relationship Type="http://schemas.openxmlformats.org/officeDocument/2006/relationships/hyperlink" Target="https://www.instagram.com/thebassmoa/" TargetMode="External" Id="rId152"/><Relationship Type="http://schemas.openxmlformats.org/officeDocument/2006/relationships/hyperlink" Target="https://thetemplehouse.com/" TargetMode="External" Id="rId153"/><Relationship Type="http://schemas.openxmlformats.org/officeDocument/2006/relationships/hyperlink" Target="https://www.yelp.com/biz/the-temple-house-miami-beach" TargetMode="External" Id="rId154"/><Relationship Type="http://schemas.openxmlformats.org/officeDocument/2006/relationships/hyperlink" Target="https://www.instagram.com/thetemplehouse/" TargetMode="External" Id="rId155"/><Relationship Type="http://schemas.openxmlformats.org/officeDocument/2006/relationships/hyperlink" Target="https://www.mangotreemiami.com/" TargetMode="External" Id="rId156"/><Relationship Type="http://schemas.openxmlformats.org/officeDocument/2006/relationships/hyperlink" Target="https://www.google.com/maps/search/?api=1&amp;query=Under+the+Mango+Tree+737+5th+St+Miami+Beach+FL" TargetMode="External" Id="rId157"/><Relationship Type="http://schemas.openxmlformats.org/officeDocument/2006/relationships/hyperlink" Target="https://www.instagram.com/underthemangotreemiami/" TargetMode="External" Id="rId158"/><Relationship Type="http://schemas.openxmlformats.org/officeDocument/2006/relationships/hyperlink" Target="https://joiabeachmiami.com/" TargetMode="External" Id="rId159"/><Relationship Type="http://schemas.openxmlformats.org/officeDocument/2006/relationships/hyperlink" Target="https://www.google.com/search?q=Joia+Beach+Miami+reviews" TargetMode="External" Id="rId160"/><Relationship Type="http://schemas.openxmlformats.org/officeDocument/2006/relationships/hyperlink" Target="https://www.instagram.com/joiabeach/" TargetMode="External" Id="rId161"/><Relationship Type="http://schemas.openxmlformats.org/officeDocument/2006/relationships/hyperlink" Target="https://www.jungleisland.com/" TargetMode="External" Id="rId162"/><Relationship Type="http://schemas.openxmlformats.org/officeDocument/2006/relationships/hyperlink" Target="https://www.google.com/maps/search/?api=1&amp;query=Jungle+Island+1111+Parrot+Jungle+Trail+Miami+FL" TargetMode="External" Id="rId163"/><Relationship Type="http://schemas.openxmlformats.org/officeDocument/2006/relationships/hyperlink" Target="https://www.instagram.com/jungleisland/" TargetMode="External" Id="rId164"/><Relationship Type="http://schemas.openxmlformats.org/officeDocument/2006/relationships/hyperlink" Target="https://1800lucky.com/" TargetMode="External" Id="rId165"/><Relationship Type="http://schemas.openxmlformats.org/officeDocument/2006/relationships/hyperlink" Target="https://www.google.com/search?q=1-800-Lucky+Wynwood+Miami+reviews" TargetMode="External" Id="rId166"/><Relationship Type="http://schemas.openxmlformats.org/officeDocument/2006/relationships/hyperlink" Target="https://www.instagram.com/1800lucky/" TargetMode="External" Id="rId167"/><Relationship Type="http://schemas.openxmlformats.org/officeDocument/2006/relationships/hyperlink" Target="https://danteshifi.com/" TargetMode="External" Id="rId168"/><Relationship Type="http://schemas.openxmlformats.org/officeDocument/2006/relationships/hyperlink" Target="https://www.yelp.com/biz/dantes-hifi-miami" TargetMode="External" Id="rId169"/><Relationship Type="http://schemas.openxmlformats.org/officeDocument/2006/relationships/hyperlink" Target="https://www.instagram.com/danteshifi/" TargetMode="External" Id="rId170"/><Relationship Type="http://schemas.openxmlformats.org/officeDocument/2006/relationships/hyperlink" Target="https://dasherandcrank.com/" TargetMode="External" Id="rId171"/><Relationship Type="http://schemas.openxmlformats.org/officeDocument/2006/relationships/hyperlink" Target="https://www.google.com/maps/search/?api=1&amp;query=Dasher+%26+Crank+2211+NW+2nd+Ave+Miami+FL" TargetMode="External" Id="rId172"/><Relationship Type="http://schemas.openxmlformats.org/officeDocument/2006/relationships/hyperlink" Target="https://www.instagram.com/dashercrank/" TargetMode="External" Id="rId173"/><Relationship Type="http://schemas.openxmlformats.org/officeDocument/2006/relationships/hyperlink" Target="https://www.miamcafe.com/" TargetMode="External" Id="rId174"/><Relationship Type="http://schemas.openxmlformats.org/officeDocument/2006/relationships/hyperlink" Target="https://www.google.com/maps/search/?api=1&amp;query=Miam+Cafe+2750+NW+3rd+Ave+Miami+FL" TargetMode="External" Id="rId175"/><Relationship Type="http://schemas.openxmlformats.org/officeDocument/2006/relationships/hyperlink" Target="https://www.instagram.com/miam.cafe/" TargetMode="External" Id="rId176"/><Relationship Type="http://schemas.openxmlformats.org/officeDocument/2006/relationships/hyperlink" Target="https://panthercoffee.com/" TargetMode="External" Id="rId177"/><Relationship Type="http://schemas.openxmlformats.org/officeDocument/2006/relationships/hyperlink" Target="https://www.google.com/search?q=Panther+Coffee+Wynwood+2390+NW+2nd+Ave+Miami+reviews" TargetMode="External" Id="rId178"/><Relationship Type="http://schemas.openxmlformats.org/officeDocument/2006/relationships/hyperlink" Target="https://www.instagram.com/panthercoffee/" TargetMode="External" Id="rId179"/><Relationship Type="http://schemas.openxmlformats.org/officeDocument/2006/relationships/hyperlink" Target="https://www.saltydonut.com/locations/wynwood" TargetMode="External" Id="rId180"/><Relationship Type="http://schemas.openxmlformats.org/officeDocument/2006/relationships/hyperlink" Target="https://www.google.com/search?q=The+Salty+Donut+Wynwood+50+NW+24th+St+Miami+reviews" TargetMode="External" Id="rId181"/><Relationship Type="http://schemas.openxmlformats.org/officeDocument/2006/relationships/hyperlink" Target="https://www.instagram.com/thesaltydonut/" TargetMode="External" Id="rId182"/><Relationship Type="http://schemas.openxmlformats.org/officeDocument/2006/relationships/hyperlink" Target="https://thewynwoodwalls.com/" TargetMode="External" Id="rId183"/><Relationship Type="http://schemas.openxmlformats.org/officeDocument/2006/relationships/hyperlink" Target="https://www.yelp.com/biz/wynwood-walls-miami" TargetMode="External" Id="rId184"/><Relationship Type="http://schemas.openxmlformats.org/officeDocument/2006/relationships/hyperlink" Target="https://www.instagram.com/wynwoodwallsofficial/" TargetMode="External" Id="rId185"/></Relationships>
</file>

<file path=xl/worksheets/_rels/sheet5.xml.rels><Relationships xmlns="http://schemas.openxmlformats.org/package/2006/relationships"><Relationship Type="http://schemas.openxmlformats.org/officeDocument/2006/relationships/hyperlink" Target="https://1800lucky.com/" TargetMode="External" Id="rId1"/><Relationship Type="http://schemas.openxmlformats.org/officeDocument/2006/relationships/hyperlink" Target="https://www.instagram.com/1800lucky/" TargetMode="External" Id="rId2"/><Relationship Type="http://schemas.openxmlformats.org/officeDocument/2006/relationships/hyperlink" Target="https://1800lucky.com/" TargetMode="External" Id="rId3"/><Relationship Type="http://schemas.openxmlformats.org/officeDocument/2006/relationships/hyperlink" Target="https://1800lucky.com/" TargetMode="External" Id="rId4"/><Relationship Type="http://schemas.openxmlformats.org/officeDocument/2006/relationships/hyperlink" Target="https://www.instagram.com/1800lucky/" TargetMode="External" Id="rId5"/><Relationship Type="http://schemas.openxmlformats.org/officeDocument/2006/relationships/hyperlink" Target="https://1800lucky.com/" TargetMode="External" Id="rId6"/><Relationship Type="http://schemas.openxmlformats.org/officeDocument/2006/relationships/hyperlink" Target="https://antoniobachour.com/" TargetMode="External" Id="rId7"/><Relationship Type="http://schemas.openxmlformats.org/officeDocument/2006/relationships/hyperlink" Target="https://www.instagram.com/bachourmiami/" TargetMode="External" Id="rId8"/><Relationship Type="http://schemas.openxmlformats.org/officeDocument/2006/relationships/hyperlink" Target="https://antoniobachour.com/" TargetMode="External" Id="rId9"/><Relationship Type="http://schemas.openxmlformats.org/officeDocument/2006/relationships/hyperlink" Target="https://antoniobachour.com/" TargetMode="External" Id="rId10"/><Relationship Type="http://schemas.openxmlformats.org/officeDocument/2006/relationships/hyperlink" Target="https://www.instagram.com/bachourmiami/" TargetMode="External" Id="rId11"/><Relationship Type="http://schemas.openxmlformats.org/officeDocument/2006/relationships/hyperlink" Target="https://antoniobachour.com/" TargetMode="External" Id="rId12"/><Relationship Type="http://schemas.openxmlformats.org/officeDocument/2006/relationships/hyperlink" Target="https://ballandchainmiami.com/" TargetMode="External" Id="rId13"/><Relationship Type="http://schemas.openxmlformats.org/officeDocument/2006/relationships/hyperlink" Target="https://www.instagram.com/ballandchainmia/" TargetMode="External" Id="rId14"/><Relationship Type="http://schemas.openxmlformats.org/officeDocument/2006/relationships/hyperlink" Target="https://ballandchainmiami.com/" TargetMode="External" Id="rId15"/><Relationship Type="http://schemas.openxmlformats.org/officeDocument/2006/relationships/hyperlink" Target="https://ballandchainmiami.com/" TargetMode="External" Id="rId16"/><Relationship Type="http://schemas.openxmlformats.org/officeDocument/2006/relationships/hyperlink" Target="https://www.instagram.com/ballandchainmia/" TargetMode="External" Id="rId17"/><Relationship Type="http://schemas.openxmlformats.org/officeDocument/2006/relationships/hyperlink" Target="https://ballandchainmiami.com/" TargetMode="External" Id="rId18"/><Relationship Type="http://schemas.openxmlformats.org/officeDocument/2006/relationships/hyperlink" Target="https://baysidemarketplace.com/" TargetMode="External" Id="rId19"/><Relationship Type="http://schemas.openxmlformats.org/officeDocument/2006/relationships/hyperlink" Target="https://www.instagram.com/baysidemarketplace/" TargetMode="External" Id="rId20"/><Relationship Type="http://schemas.openxmlformats.org/officeDocument/2006/relationships/hyperlink" Target="https://baysidemarketplace.com/" TargetMode="External" Id="rId21"/><Relationship Type="http://schemas.openxmlformats.org/officeDocument/2006/relationships/hyperlink" Target="https://baysidemarketplace.com/" TargetMode="External" Id="rId22"/><Relationship Type="http://schemas.openxmlformats.org/officeDocument/2006/relationships/hyperlink" Target="https://www.instagram.com/baysidemarketplace/" TargetMode="External" Id="rId23"/><Relationship Type="http://schemas.openxmlformats.org/officeDocument/2006/relationships/hyperlink" Target="https://baysidemarketplace.com/" TargetMode="External" Id="rId24"/><Relationship Type="http://schemas.openxmlformats.org/officeDocument/2006/relationships/hyperlink" Target="https://www.bodegataqueria.com/location/southbeach/" TargetMode="External" Id="rId25"/><Relationship Type="http://schemas.openxmlformats.org/officeDocument/2006/relationships/hyperlink" Target="https://www.instagram.com/bodegataqueria/" TargetMode="External" Id="rId26"/><Relationship Type="http://schemas.openxmlformats.org/officeDocument/2006/relationships/hyperlink" Target="https://www.bodegataqueria.com/location/southbeach/" TargetMode="External" Id="rId27"/><Relationship Type="http://schemas.openxmlformats.org/officeDocument/2006/relationships/hyperlink" Target="https://www.bodegataqueria.com/location/southbeach/" TargetMode="External" Id="rId28"/><Relationship Type="http://schemas.openxmlformats.org/officeDocument/2006/relationships/hyperlink" Target="https://www.instagram.com/bodegataqueria/" TargetMode="External" Id="rId29"/><Relationship Type="http://schemas.openxmlformats.org/officeDocument/2006/relationships/hyperlink" Target="https://www.bodegataqueria.com/location/southbeach/" TargetMode="External" Id="rId30"/><Relationship Type="http://schemas.openxmlformats.org/officeDocument/2006/relationships/hyperlink" Target="https://www.booksandbooks.com/" TargetMode="External" Id="rId31"/><Relationship Type="http://schemas.openxmlformats.org/officeDocument/2006/relationships/hyperlink" Target="https://www.instagram.com/booksandbooks/" TargetMode="External" Id="rId32"/><Relationship Type="http://schemas.openxmlformats.org/officeDocument/2006/relationships/hyperlink" Target="https://www.booksandbooks.com/" TargetMode="External" Id="rId33"/><Relationship Type="http://schemas.openxmlformats.org/officeDocument/2006/relationships/hyperlink" Target="https://www.booksandbooks.com/" TargetMode="External" Id="rId34"/><Relationship Type="http://schemas.openxmlformats.org/officeDocument/2006/relationships/hyperlink" Target="https://www.instagram.com/booksandbooks/" TargetMode="External" Id="rId35"/><Relationship Type="http://schemas.openxmlformats.org/officeDocument/2006/relationships/hyperlink" Target="https://www.booksandbooks.com/" TargetMode="External" Id="rId36"/><Relationship Type="http://schemas.openxmlformats.org/officeDocument/2006/relationships/hyperlink" Target="https://www.brewingbuddha.com/" TargetMode="External" Id="rId37"/><Relationship Type="http://schemas.openxmlformats.org/officeDocument/2006/relationships/hyperlink" Target="https://www.instagram.com/brewingbuddha/" TargetMode="External" Id="rId38"/><Relationship Type="http://schemas.openxmlformats.org/officeDocument/2006/relationships/hyperlink" Target="https://www.brewingbuddha.com/" TargetMode="External" Id="rId39"/><Relationship Type="http://schemas.openxmlformats.org/officeDocument/2006/relationships/hyperlink" Target="https://www.brewingbuddha.com/" TargetMode="External" Id="rId40"/><Relationship Type="http://schemas.openxmlformats.org/officeDocument/2006/relationships/hyperlink" Target="https://www.instagram.com/brewingbuddha/" TargetMode="External" Id="rId41"/><Relationship Type="http://schemas.openxmlformats.org/officeDocument/2006/relationships/hyperlink" Target="https://www.brewingbuddha.com/" TargetMode="External" Id="rId42"/><Relationship Type="http://schemas.openxmlformats.org/officeDocument/2006/relationships/hyperlink" Target="https://brickellcitycentre.com/" TargetMode="External" Id="rId43"/><Relationship Type="http://schemas.openxmlformats.org/officeDocument/2006/relationships/hyperlink" Target="https://www.instagram.com/brickellcitycentre/" TargetMode="External" Id="rId44"/><Relationship Type="http://schemas.openxmlformats.org/officeDocument/2006/relationships/hyperlink" Target="https://brickellcitycentre.com/" TargetMode="External" Id="rId45"/><Relationship Type="http://schemas.openxmlformats.org/officeDocument/2006/relationships/hyperlink" Target="https://brickellcitycentre.com/" TargetMode="External" Id="rId46"/><Relationship Type="http://schemas.openxmlformats.org/officeDocument/2006/relationships/hyperlink" Target="https://www.instagram.com/brickellcitycentre/" TargetMode="External" Id="rId47"/><Relationship Type="http://schemas.openxmlformats.org/officeDocument/2006/relationships/hyperlink" Target="https://brickellcitycentre.com/" TargetMode="External" Id="rId48"/><Relationship Type="http://schemas.openxmlformats.org/officeDocument/2006/relationships/hyperlink" Target="https://www.brokenshaker.com/location/miami-hours-and-location/" TargetMode="External" Id="rId49"/><Relationship Type="http://schemas.openxmlformats.org/officeDocument/2006/relationships/hyperlink" Target="https://www.instagram.com/brokenshaker/" TargetMode="External" Id="rId50"/><Relationship Type="http://schemas.openxmlformats.org/officeDocument/2006/relationships/hyperlink" Target="https://www.brokenshaker.com/location/miami-hours-and-location/" TargetMode="External" Id="rId51"/><Relationship Type="http://schemas.openxmlformats.org/officeDocument/2006/relationships/hyperlink" Target="https://www.brokenshaker.com/location/miami-hours-and-location/" TargetMode="External" Id="rId52"/><Relationship Type="http://schemas.openxmlformats.org/officeDocument/2006/relationships/hyperlink" Target="https://www.instagram.com/brokenshaker/" TargetMode="External" Id="rId53"/><Relationship Type="http://schemas.openxmlformats.org/officeDocument/2006/relationships/hyperlink" Target="https://www.brokenshaker.com/location/miami-hours-and-location/" TargetMode="External" Id="rId54"/><Relationship Type="http://schemas.openxmlformats.org/officeDocument/2006/relationships/hyperlink" Target="https://www.gobrightline.com/" TargetMode="External" Id="rId55"/><Relationship Type="http://schemas.openxmlformats.org/officeDocument/2006/relationships/hyperlink" Target="https://www.instagram.com/citizens_miamicentral/" TargetMode="External" Id="rId56"/><Relationship Type="http://schemas.openxmlformats.org/officeDocument/2006/relationships/hyperlink" Target="https://www.gobrightline.com/" TargetMode="External" Id="rId57"/><Relationship Type="http://schemas.openxmlformats.org/officeDocument/2006/relationships/hyperlink" Target="https://www.gobrightline.com/" TargetMode="External" Id="rId58"/><Relationship Type="http://schemas.openxmlformats.org/officeDocument/2006/relationships/hyperlink" Target="https://www.instagram.com/citizens_miamicentral/" TargetMode="External" Id="rId59"/><Relationship Type="http://schemas.openxmlformats.org/officeDocument/2006/relationships/hyperlink" Target="https://www.gobrightline.com/" TargetMode="External" Id="rId60"/><Relationship Type="http://schemas.openxmlformats.org/officeDocument/2006/relationships/hyperlink" Target="https://gablesucc.org/" TargetMode="External" Id="rId61"/><Relationship Type="http://schemas.openxmlformats.org/officeDocument/2006/relationships/hyperlink" Target="https://www.instagram.com/coralgablesucc/" TargetMode="External" Id="rId62"/><Relationship Type="http://schemas.openxmlformats.org/officeDocument/2006/relationships/hyperlink" Target="https://gablesucc.org/" TargetMode="External" Id="rId63"/><Relationship Type="http://schemas.openxmlformats.org/officeDocument/2006/relationships/hyperlink" Target="https://gablesucc.org/" TargetMode="External" Id="rId64"/><Relationship Type="http://schemas.openxmlformats.org/officeDocument/2006/relationships/hyperlink" Target="https://www.instagram.com/coralgablesucc/" TargetMode="External" Id="rId65"/><Relationship Type="http://schemas.openxmlformats.org/officeDocument/2006/relationships/hyperlink" Target="https://gablesucc.org/" TargetMode="External" Id="rId66"/><Relationship Type="http://schemas.openxmlformats.org/officeDocument/2006/relationships/hyperlink" Target="https://dalezine.com/" TargetMode="External" Id="rId67"/><Relationship Type="http://schemas.openxmlformats.org/officeDocument/2006/relationships/hyperlink" Target="https://www.instagram.com/dale_zine/" TargetMode="External" Id="rId68"/><Relationship Type="http://schemas.openxmlformats.org/officeDocument/2006/relationships/hyperlink" Target="https://dalezine.com/" TargetMode="External" Id="rId69"/><Relationship Type="http://schemas.openxmlformats.org/officeDocument/2006/relationships/hyperlink" Target="https://dalezine.com/" TargetMode="External" Id="rId70"/><Relationship Type="http://schemas.openxmlformats.org/officeDocument/2006/relationships/hyperlink" Target="https://www.instagram.com/dale_zine/" TargetMode="External" Id="rId71"/><Relationship Type="http://schemas.openxmlformats.org/officeDocument/2006/relationships/hyperlink" Target="https://dalezine.com/" TargetMode="External" Id="rId72"/><Relationship Type="http://schemas.openxmlformats.org/officeDocument/2006/relationships/hyperlink" Target="https://danteshifi.com/" TargetMode="External" Id="rId73"/><Relationship Type="http://schemas.openxmlformats.org/officeDocument/2006/relationships/hyperlink" Target="https://www.instagram.com/danteshifi/" TargetMode="External" Id="rId74"/><Relationship Type="http://schemas.openxmlformats.org/officeDocument/2006/relationships/hyperlink" Target="https://danteshifi.com/" TargetMode="External" Id="rId75"/><Relationship Type="http://schemas.openxmlformats.org/officeDocument/2006/relationships/hyperlink" Target="https://danteshifi.com/" TargetMode="External" Id="rId76"/><Relationship Type="http://schemas.openxmlformats.org/officeDocument/2006/relationships/hyperlink" Target="https://www.instagram.com/danteshifi/" TargetMode="External" Id="rId77"/><Relationship Type="http://schemas.openxmlformats.org/officeDocument/2006/relationships/hyperlink" Target="https://danteshifi.com/" TargetMode="External" Id="rId78"/><Relationship Type="http://schemas.openxmlformats.org/officeDocument/2006/relationships/hyperlink" Target="https://dasherandcrank.com/" TargetMode="External" Id="rId79"/><Relationship Type="http://schemas.openxmlformats.org/officeDocument/2006/relationships/hyperlink" Target="https://www.instagram.com/dashercrank/" TargetMode="External" Id="rId80"/><Relationship Type="http://schemas.openxmlformats.org/officeDocument/2006/relationships/hyperlink" Target="https://dasherandcrank.com/" TargetMode="External" Id="rId81"/><Relationship Type="http://schemas.openxmlformats.org/officeDocument/2006/relationships/hyperlink" Target="https://dasherandcrank.com/" TargetMode="External" Id="rId82"/><Relationship Type="http://schemas.openxmlformats.org/officeDocument/2006/relationships/hyperlink" Target="https://www.instagram.com/dashercrank/" TargetMode="External" Id="rId83"/><Relationship Type="http://schemas.openxmlformats.org/officeDocument/2006/relationships/hyperlink" Target="https://dasherandcrank.com/" TargetMode="External" Id="rId84"/><Relationship Type="http://schemas.openxmlformats.org/officeDocument/2006/relationships/hyperlink" Target="https://www.11miami.com/" TargetMode="External" Id="rId85"/><Relationship Type="http://schemas.openxmlformats.org/officeDocument/2006/relationships/hyperlink" Target="https://www.instagram.com/11miami/" TargetMode="External" Id="rId86"/><Relationship Type="http://schemas.openxmlformats.org/officeDocument/2006/relationships/hyperlink" Target="https://www.11miami.com/" TargetMode="External" Id="rId87"/><Relationship Type="http://schemas.openxmlformats.org/officeDocument/2006/relationships/hyperlink" Target="https://www.11miami.com/" TargetMode="External" Id="rId88"/><Relationship Type="http://schemas.openxmlformats.org/officeDocument/2006/relationships/hyperlink" Target="https://www.instagram.com/11miami/" TargetMode="External" Id="rId89"/><Relationship Type="http://schemas.openxmlformats.org/officeDocument/2006/relationships/hyperlink" Target="https://www.11miami.com/" TargetMode="External" Id="rId90"/><Relationship Type="http://schemas.openxmlformats.org/officeDocument/2006/relationships/hyperlink" Target="https://el-carajo.com/" TargetMode="External" Id="rId91"/><Relationship Type="http://schemas.openxmlformats.org/officeDocument/2006/relationships/hyperlink" Target="https://www.instagram.com/theelcarajo/" TargetMode="External" Id="rId92"/><Relationship Type="http://schemas.openxmlformats.org/officeDocument/2006/relationships/hyperlink" Target="https://el-carajo.com/" TargetMode="External" Id="rId93"/><Relationship Type="http://schemas.openxmlformats.org/officeDocument/2006/relationships/hyperlink" Target="https://el-carajo.com/" TargetMode="External" Id="rId94"/><Relationship Type="http://schemas.openxmlformats.org/officeDocument/2006/relationships/hyperlink" Target="https://www.instagram.com/theelcarajo/" TargetMode="External" Id="rId95"/><Relationship Type="http://schemas.openxmlformats.org/officeDocument/2006/relationships/hyperlink" Target="https://el-carajo.com/" TargetMode="External" Id="rId96"/><Relationship Type="http://schemas.openxmlformats.org/officeDocument/2006/relationships/hyperlink" Target="https://www.experiencemiamibeach.com/local-attractions/espanola-way" TargetMode="External" Id="rId97"/><Relationship Type="http://schemas.openxmlformats.org/officeDocument/2006/relationships/hyperlink" Target="https://www.instagram.com/espanolaway/" TargetMode="External" Id="rId98"/><Relationship Type="http://schemas.openxmlformats.org/officeDocument/2006/relationships/hyperlink" Target="https://www.experiencemiamibeach.com/local-attractions/espanola-way" TargetMode="External" Id="rId99"/><Relationship Type="http://schemas.openxmlformats.org/officeDocument/2006/relationships/hyperlink" Target="https://www.experiencemiamibeach.com/local-attractions/espanola-way" TargetMode="External" Id="rId100"/><Relationship Type="http://schemas.openxmlformats.org/officeDocument/2006/relationships/hyperlink" Target="https://www.instagram.com/espanolaway/" TargetMode="External" Id="rId101"/><Relationship Type="http://schemas.openxmlformats.org/officeDocument/2006/relationships/hyperlink" Target="https://www.experiencemiamibeach.com/local-attractions/espanola-way" TargetMode="External" Id="rId102"/><Relationship Type="http://schemas.openxmlformats.org/officeDocument/2006/relationships/hyperlink" Target="https://www.coralgables.com/attractions/giralda-plaza" TargetMode="External" Id="rId103"/><Relationship Type="http://schemas.openxmlformats.org/officeDocument/2006/relationships/hyperlink" Target="https://www.instagram.com/giraldaplaza/" TargetMode="External" Id="rId104"/><Relationship Type="http://schemas.openxmlformats.org/officeDocument/2006/relationships/hyperlink" Target="https://www.coralgables.com/attractions/giralda-plaza" TargetMode="External" Id="rId105"/><Relationship Type="http://schemas.openxmlformats.org/officeDocument/2006/relationships/hyperlink" Target="https://www.coralgables.com/attractions/giralda-plaza" TargetMode="External" Id="rId106"/><Relationship Type="http://schemas.openxmlformats.org/officeDocument/2006/relationships/hyperlink" Target="https://www.instagram.com/giraldaplaza/" TargetMode="External" Id="rId107"/><Relationship Type="http://schemas.openxmlformats.org/officeDocument/2006/relationships/hyperlink" Target="https://www.coralgables.com/attractions/giralda-plaza" TargetMode="External" Id="rId108"/><Relationship Type="http://schemas.openxmlformats.org/officeDocument/2006/relationships/hyperlink" Target="https://www.miamidade.gov/transportation-publicworks/metrorail-stations.asp" TargetMode="External" Id="rId109"/><Relationship Type="http://schemas.openxmlformats.org/officeDocument/2006/relationships/hyperlink" Target="https://www.instagram.com/miamidadetransit/" TargetMode="External" Id="rId110"/><Relationship Type="http://schemas.openxmlformats.org/officeDocument/2006/relationships/hyperlink" Target="https://www.miamidade.gov/transportation-publicworks/metrorail-stations.asp" TargetMode="External" Id="rId111"/><Relationship Type="http://schemas.openxmlformats.org/officeDocument/2006/relationships/hyperlink" Target="https://www.miamidade.gov/transportation-publicworks/metrorail-stations.asp" TargetMode="External" Id="rId112"/><Relationship Type="http://schemas.openxmlformats.org/officeDocument/2006/relationships/hyperlink" Target="https://www.instagram.com/miamidadetransit/" TargetMode="External" Id="rId113"/><Relationship Type="http://schemas.openxmlformats.org/officeDocument/2006/relationships/hyperlink" Target="https://www.miamidade.gov/transportation-publicworks/metrorail-stations.asp" TargetMode="External" Id="rId114"/><Relationship Type="http://schemas.openxmlformats.org/officeDocument/2006/relationships/hyperlink" Target="https://www.imperialmoto.com/" TargetMode="External" Id="rId115"/><Relationship Type="http://schemas.openxmlformats.org/officeDocument/2006/relationships/hyperlink" Target="https://www.instagram.com/imperialmoto/" TargetMode="External" Id="rId116"/><Relationship Type="http://schemas.openxmlformats.org/officeDocument/2006/relationships/hyperlink" Target="https://www.imperialmoto.com/" TargetMode="External" Id="rId117"/><Relationship Type="http://schemas.openxmlformats.org/officeDocument/2006/relationships/hyperlink" Target="https://www.imperialmoto.com/" TargetMode="External" Id="rId118"/><Relationship Type="http://schemas.openxmlformats.org/officeDocument/2006/relationships/hyperlink" Target="https://www.instagram.com/imperialmoto/" TargetMode="External" Id="rId119"/><Relationship Type="http://schemas.openxmlformats.org/officeDocument/2006/relationships/hyperlink" Target="https://www.imperialmoto.com/" TargetMode="External" Id="rId120"/><Relationship Type="http://schemas.openxmlformats.org/officeDocument/2006/relationships/hyperlink" Target="https://icamiami.org/" TargetMode="External" Id="rId121"/><Relationship Type="http://schemas.openxmlformats.org/officeDocument/2006/relationships/hyperlink" Target="https://www.instagram.com/icamiami/" TargetMode="External" Id="rId122"/><Relationship Type="http://schemas.openxmlformats.org/officeDocument/2006/relationships/hyperlink" Target="https://icamiami.org/" TargetMode="External" Id="rId123"/><Relationship Type="http://schemas.openxmlformats.org/officeDocument/2006/relationships/hyperlink" Target="https://icamiami.org/" TargetMode="External" Id="rId124"/><Relationship Type="http://schemas.openxmlformats.org/officeDocument/2006/relationships/hyperlink" Target="https://www.instagram.com/icamiami/" TargetMode="External" Id="rId125"/><Relationship Type="http://schemas.openxmlformats.org/officeDocument/2006/relationships/hyperlink" Target="https://icamiami.org/" TargetMode="External" Id="rId126"/><Relationship Type="http://schemas.openxmlformats.org/officeDocument/2006/relationships/hyperlink" Target="https://joiabeachmiami.com/" TargetMode="External" Id="rId127"/><Relationship Type="http://schemas.openxmlformats.org/officeDocument/2006/relationships/hyperlink" Target="https://www.instagram.com/joiabeach/" TargetMode="External" Id="rId128"/><Relationship Type="http://schemas.openxmlformats.org/officeDocument/2006/relationships/hyperlink" Target="https://joiabeachmiami.com/" TargetMode="External" Id="rId129"/><Relationship Type="http://schemas.openxmlformats.org/officeDocument/2006/relationships/hyperlink" Target="https://joiabeachmiami.com/" TargetMode="External" Id="rId130"/><Relationship Type="http://schemas.openxmlformats.org/officeDocument/2006/relationships/hyperlink" Target="https://www.instagram.com/joiabeach/" TargetMode="External" Id="rId131"/><Relationship Type="http://schemas.openxmlformats.org/officeDocument/2006/relationships/hyperlink" Target="https://joiabeachmiami.com/" TargetMode="External" Id="rId132"/><Relationship Type="http://schemas.openxmlformats.org/officeDocument/2006/relationships/hyperlink" Target="https://www.jungleisland.com/" TargetMode="External" Id="rId133"/><Relationship Type="http://schemas.openxmlformats.org/officeDocument/2006/relationships/hyperlink" Target="https://www.instagram.com/jungleisland/" TargetMode="External" Id="rId134"/><Relationship Type="http://schemas.openxmlformats.org/officeDocument/2006/relationships/hyperlink" Target="https://www.jungleisland.com/" TargetMode="External" Id="rId135"/><Relationship Type="http://schemas.openxmlformats.org/officeDocument/2006/relationships/hyperlink" Target="https://www.jungleisland.com/" TargetMode="External" Id="rId136"/><Relationship Type="http://schemas.openxmlformats.org/officeDocument/2006/relationships/hyperlink" Target="https://www.instagram.com/jungleisland/" TargetMode="External" Id="rId137"/><Relationship Type="http://schemas.openxmlformats.org/officeDocument/2006/relationships/hyperlink" Target="https://www.jungleisland.com/" TargetMode="External" Id="rId138"/><Relationship Type="http://schemas.openxmlformats.org/officeDocument/2006/relationships/hyperlink" Target="https://www.miamidesigndistrict.com/event-venue/742/jungle-plaza/" TargetMode="External" Id="rId139"/><Relationship Type="http://schemas.openxmlformats.org/officeDocument/2006/relationships/hyperlink" Target="https://www.instagram.com/miamidesigndistrict/" TargetMode="External" Id="rId140"/><Relationship Type="http://schemas.openxmlformats.org/officeDocument/2006/relationships/hyperlink" Target="https://www.miamidesigndistrict.com/event-venue/742/jungle-plaza/" TargetMode="External" Id="rId141"/><Relationship Type="http://schemas.openxmlformats.org/officeDocument/2006/relationships/hyperlink" Target="https://www.miamidesigndistrict.com/event-venue/742/jungle-plaza/" TargetMode="External" Id="rId142"/><Relationship Type="http://schemas.openxmlformats.org/officeDocument/2006/relationships/hyperlink" Target="https://www.instagram.com/miamidesigndistrict/" TargetMode="External" Id="rId143"/><Relationship Type="http://schemas.openxmlformats.org/officeDocument/2006/relationships/hyperlink" Target="https://www.miamidesigndistrict.com/event-venue/742/jungle-plaza/" TargetMode="External" Id="rId144"/><Relationship Type="http://schemas.openxmlformats.org/officeDocument/2006/relationships/hyperlink" Target="https://www.kaseyacenter.com/" TargetMode="External" Id="rId145"/><Relationship Type="http://schemas.openxmlformats.org/officeDocument/2006/relationships/hyperlink" Target="https://www.instagram.com/kaseyacenter/" TargetMode="External" Id="rId146"/><Relationship Type="http://schemas.openxmlformats.org/officeDocument/2006/relationships/hyperlink" Target="https://www.kaseyacenter.com/" TargetMode="External" Id="rId147"/><Relationship Type="http://schemas.openxmlformats.org/officeDocument/2006/relationships/hyperlink" Target="https://www.kaseyacenter.com/" TargetMode="External" Id="rId148"/><Relationship Type="http://schemas.openxmlformats.org/officeDocument/2006/relationships/hyperlink" Target="https://www.instagram.com/kaseyacenter/" TargetMode="External" Id="rId149"/><Relationship Type="http://schemas.openxmlformats.org/officeDocument/2006/relationships/hyperlink" Target="https://www.kaseyacenter.com/" TargetMode="External" Id="rId150"/><Relationship Type="http://schemas.openxmlformats.org/officeDocument/2006/relationships/hyperlink" Target="https://komodomiami.com/" TargetMode="External" Id="rId151"/><Relationship Type="http://schemas.openxmlformats.org/officeDocument/2006/relationships/hyperlink" Target="https://www.instagram.com/komodomiami/" TargetMode="External" Id="rId152"/><Relationship Type="http://schemas.openxmlformats.org/officeDocument/2006/relationships/hyperlink" Target="https://komodomiami.com/" TargetMode="External" Id="rId153"/><Relationship Type="http://schemas.openxmlformats.org/officeDocument/2006/relationships/hyperlink" Target="https://komodomiami.com/" TargetMode="External" Id="rId154"/><Relationship Type="http://schemas.openxmlformats.org/officeDocument/2006/relationships/hyperlink" Target="https://www.instagram.com/komodomiami/" TargetMode="External" Id="rId155"/><Relationship Type="http://schemas.openxmlformats.org/officeDocument/2006/relationships/hyperlink" Target="https://komodomiami.com/" TargetMode="External" Id="rId156"/><Relationship Type="http://schemas.openxmlformats.org/officeDocument/2006/relationships/hyperlink" Target="http://www.lagniappehouse.com/" TargetMode="External" Id="rId157"/><Relationship Type="http://schemas.openxmlformats.org/officeDocument/2006/relationships/hyperlink" Target="https://www.instagram.com/lagniappehouse/" TargetMode="External" Id="rId158"/><Relationship Type="http://schemas.openxmlformats.org/officeDocument/2006/relationships/hyperlink" Target="http://www.lagniappehouse.com/" TargetMode="External" Id="rId159"/><Relationship Type="http://schemas.openxmlformats.org/officeDocument/2006/relationships/hyperlink" Target="http://www.lagniappehouse.com/" TargetMode="External" Id="rId160"/><Relationship Type="http://schemas.openxmlformats.org/officeDocument/2006/relationships/hyperlink" Target="https://www.instagram.com/lagniappehouse/" TargetMode="External" Id="rId161"/><Relationship Type="http://schemas.openxmlformats.org/officeDocument/2006/relationships/hyperlink" Target="http://www.lagniappehouse.com/" TargetMode="External" Id="rId162"/><Relationship Type="http://schemas.openxmlformats.org/officeDocument/2006/relationships/hyperlink" Target="https://www.lostboydrygoods.com/" TargetMode="External" Id="rId163"/><Relationship Type="http://schemas.openxmlformats.org/officeDocument/2006/relationships/hyperlink" Target="https://www.instagram.com/lostboydrygoods/" TargetMode="External" Id="rId164"/><Relationship Type="http://schemas.openxmlformats.org/officeDocument/2006/relationships/hyperlink" Target="https://www.lostboydrygoods.com/" TargetMode="External" Id="rId165"/><Relationship Type="http://schemas.openxmlformats.org/officeDocument/2006/relationships/hyperlink" Target="https://www.lostboydrygoods.com/" TargetMode="External" Id="rId166"/><Relationship Type="http://schemas.openxmlformats.org/officeDocument/2006/relationships/hyperlink" Target="https://www.instagram.com/lostboydrygoods/" TargetMode="External" Id="rId167"/><Relationship Type="http://schemas.openxmlformats.org/officeDocument/2006/relationships/hyperlink" Target="https://www.lostboydrygoods.com/" TargetMode="External" Id="rId168"/><Relationship Type="http://schemas.openxmlformats.org/officeDocument/2006/relationships/hyperlink" Target="https://www.miamibeachfl.gov/city-hall/parks-and-recreation/parks-facilities-directory/lummus-park/" TargetMode="External" Id="rId169"/><Relationship Type="http://schemas.openxmlformats.org/officeDocument/2006/relationships/hyperlink" Target="https://www.instagram.com/cityofmiamibeach/" TargetMode="External" Id="rId170"/><Relationship Type="http://schemas.openxmlformats.org/officeDocument/2006/relationships/hyperlink" Target="https://www.miamibeachfl.gov/city-hall/parks-and-recreation/parks-facilities-directory/lummus-park/" TargetMode="External" Id="rId171"/><Relationship Type="http://schemas.openxmlformats.org/officeDocument/2006/relationships/hyperlink" Target="https://www.miamibeachfl.gov/city-hall/parks-and-recreation/parks-facilities-directory/lummus-park/" TargetMode="External" Id="rId172"/><Relationship Type="http://schemas.openxmlformats.org/officeDocument/2006/relationships/hyperlink" Target="https://www.instagram.com/cityofmiamibeach/" TargetMode="External" Id="rId173"/><Relationship Type="http://schemas.openxmlformats.org/officeDocument/2006/relationships/hyperlink" Target="https://www.miamibeachfl.gov/city-hall/parks-and-recreation/parks-facilities-directory/lummus-park/" TargetMode="External" Id="rId174"/><Relationship Type="http://schemas.openxmlformats.org/officeDocument/2006/relationships/hyperlink" Target="https://www.macsclubdeuce.com/" TargetMode="External" Id="rId175"/><Relationship Type="http://schemas.openxmlformats.org/officeDocument/2006/relationships/hyperlink" Target="https://www.instagram.com/macsclubdeuce/" TargetMode="External" Id="rId176"/><Relationship Type="http://schemas.openxmlformats.org/officeDocument/2006/relationships/hyperlink" Target="https://www.macsclubdeuce.com/" TargetMode="External" Id="rId177"/><Relationship Type="http://schemas.openxmlformats.org/officeDocument/2006/relationships/hyperlink" Target="https://www.macsclubdeuce.com/" TargetMode="External" Id="rId178"/><Relationship Type="http://schemas.openxmlformats.org/officeDocument/2006/relationships/hyperlink" Target="https://www.instagram.com/macsclubdeuce/" TargetMode="External" Id="rId179"/><Relationship Type="http://schemas.openxmlformats.org/officeDocument/2006/relationships/hyperlink" Target="https://www.macsclubdeuce.com/" TargetMode="External" Id="rId180"/><Relationship Type="http://schemas.openxmlformats.org/officeDocument/2006/relationships/hyperlink" Target="https://www.miami.gov/Parks-Public-Places/Parks-Directory/Maurice-A.-Ferre-Park" TargetMode="External" Id="rId181"/><Relationship Type="http://schemas.openxmlformats.org/officeDocument/2006/relationships/hyperlink" Target="https://www.instagram.com/miamiparks/" TargetMode="External" Id="rId182"/><Relationship Type="http://schemas.openxmlformats.org/officeDocument/2006/relationships/hyperlink" Target="https://www.miami.gov/Parks-Public-Places/Parks-Directory/Maurice-A.-Ferre-Park" TargetMode="External" Id="rId183"/><Relationship Type="http://schemas.openxmlformats.org/officeDocument/2006/relationships/hyperlink" Target="https://www.miami.gov/Parks-Public-Places/Parks-Directory/Maurice-A.-Ferre-Park" TargetMode="External" Id="rId184"/><Relationship Type="http://schemas.openxmlformats.org/officeDocument/2006/relationships/hyperlink" Target="https://www.instagram.com/miamiparks/" TargetMode="External" Id="rId185"/><Relationship Type="http://schemas.openxmlformats.org/officeDocument/2006/relationships/hyperlink" Target="https://www.miami.gov/Parks-Public-Places/Parks-Directory/Maurice-A.-Ferre-Park" TargetMode="External" Id="rId186"/><Relationship Type="http://schemas.openxmlformats.org/officeDocument/2006/relationships/hyperlink" Target="https://www.miamcafe.com/" TargetMode="External" Id="rId187"/><Relationship Type="http://schemas.openxmlformats.org/officeDocument/2006/relationships/hyperlink" Target="https://www.instagram.com/miam.cafe/" TargetMode="External" Id="rId188"/><Relationship Type="http://schemas.openxmlformats.org/officeDocument/2006/relationships/hyperlink" Target="https://www.miamcafe.com/" TargetMode="External" Id="rId189"/><Relationship Type="http://schemas.openxmlformats.org/officeDocument/2006/relationships/hyperlink" Target="https://www.miamcafe.com/" TargetMode="External" Id="rId190"/><Relationship Type="http://schemas.openxmlformats.org/officeDocument/2006/relationships/hyperlink" Target="https://www.instagram.com/miam.cafe/" TargetMode="External" Id="rId191"/><Relationship Type="http://schemas.openxmlformats.org/officeDocument/2006/relationships/hyperlink" Target="https://www.miamcafe.com/" TargetMode="External" Id="rId192"/><Relationship Type="http://schemas.openxmlformats.org/officeDocument/2006/relationships/hyperlink" Target="https://dos.fl.gov/historical/archaeology/projects/miami-circle/" TargetMode="External" Id="rId193"/><Relationship Type="http://schemas.openxmlformats.org/officeDocument/2006/relationships/hyperlink" Target="https://dos.fl.gov/historical/archaeology/projects/miami-circle/" TargetMode="External" Id="rId194"/><Relationship Type="http://schemas.openxmlformats.org/officeDocument/2006/relationships/hyperlink" Target="https://dos.fl.gov/historical/archaeology/projects/miami-circle/" TargetMode="External" Id="rId195"/><Relationship Type="http://schemas.openxmlformats.org/officeDocument/2006/relationships/hyperlink" Target="https://dos.fl.gov/historical/archaeology/projects/miami-circle/" TargetMode="External" Id="rId196"/><Relationship Type="http://schemas.openxmlformats.org/officeDocument/2006/relationships/hyperlink" Target="https://www.miamidesigndistrict.com/" TargetMode="External" Id="rId197"/><Relationship Type="http://schemas.openxmlformats.org/officeDocument/2006/relationships/hyperlink" Target="https://www.instagram.com/miamidesigndistrict/" TargetMode="External" Id="rId198"/><Relationship Type="http://schemas.openxmlformats.org/officeDocument/2006/relationships/hyperlink" Target="https://www.miamidesigndistrict.com/" TargetMode="External" Id="rId199"/><Relationship Type="http://schemas.openxmlformats.org/officeDocument/2006/relationships/hyperlink" Target="https://www.miamidesigndistrict.com/" TargetMode="External" Id="rId200"/><Relationship Type="http://schemas.openxmlformats.org/officeDocument/2006/relationships/hyperlink" Target="https://www.instagram.com/miamidesigndistrict/" TargetMode="External" Id="rId201"/><Relationship Type="http://schemas.openxmlformats.org/officeDocument/2006/relationships/hyperlink" Target="https://www.miamidesigndistrict.com/" TargetMode="External" Id="rId202"/><Relationship Type="http://schemas.openxmlformats.org/officeDocument/2006/relationships/hyperlink" Target="https://miamiworldcenter.com/" TargetMode="External" Id="rId203"/><Relationship Type="http://schemas.openxmlformats.org/officeDocument/2006/relationships/hyperlink" Target="https://www.instagram.com/miamiworldcenter/" TargetMode="External" Id="rId204"/><Relationship Type="http://schemas.openxmlformats.org/officeDocument/2006/relationships/hyperlink" Target="https://miamiworldcenter.com/" TargetMode="External" Id="rId205"/><Relationship Type="http://schemas.openxmlformats.org/officeDocument/2006/relationships/hyperlink" Target="https://miamiworldcenter.com/" TargetMode="External" Id="rId206"/><Relationship Type="http://schemas.openxmlformats.org/officeDocument/2006/relationships/hyperlink" Target="https://www.instagram.com/miamiworldcenter/" TargetMode="External" Id="rId207"/><Relationship Type="http://schemas.openxmlformats.org/officeDocument/2006/relationships/hyperlink" Target="https://miamiworldcenter.com/" TargetMode="External" Id="rId208"/><Relationship Type="http://schemas.openxmlformats.org/officeDocument/2006/relationships/hyperlink" Target="https://www.midoriemiami.com/" TargetMode="External" Id="rId209"/><Relationship Type="http://schemas.openxmlformats.org/officeDocument/2006/relationships/hyperlink" Target="https://www.instagram.com/midorie_miami/" TargetMode="External" Id="rId210"/><Relationship Type="http://schemas.openxmlformats.org/officeDocument/2006/relationships/hyperlink" Target="https://www.midoriemiami.com/" TargetMode="External" Id="rId211"/><Relationship Type="http://schemas.openxmlformats.org/officeDocument/2006/relationships/hyperlink" Target="https://www.midoriemiami.com/" TargetMode="External" Id="rId212"/><Relationship Type="http://schemas.openxmlformats.org/officeDocument/2006/relationships/hyperlink" Target="https://www.instagram.com/midorie_miami/" TargetMode="External" Id="rId213"/><Relationship Type="http://schemas.openxmlformats.org/officeDocument/2006/relationships/hyperlink" Target="https://www.midoriemiami.com/" TargetMode="External" Id="rId214"/><Relationship Type="http://schemas.openxmlformats.org/officeDocument/2006/relationships/hyperlink" Target="https://www.coralgables.com/attractions/miracle-mile" TargetMode="External" Id="rId215"/><Relationship Type="http://schemas.openxmlformats.org/officeDocument/2006/relationships/hyperlink" Target="https://www.instagram.com/cityofcoralgables/" TargetMode="External" Id="rId216"/><Relationship Type="http://schemas.openxmlformats.org/officeDocument/2006/relationships/hyperlink" Target="https://www.coralgables.com/attractions/miracle-mile" TargetMode="External" Id="rId217"/><Relationship Type="http://schemas.openxmlformats.org/officeDocument/2006/relationships/hyperlink" Target="https://www.coralgables.com/attractions/miracle-mile" TargetMode="External" Id="rId218"/><Relationship Type="http://schemas.openxmlformats.org/officeDocument/2006/relationships/hyperlink" Target="https://www.instagram.com/cityofcoralgables/" TargetMode="External" Id="rId219"/><Relationship Type="http://schemas.openxmlformats.org/officeDocument/2006/relationships/hyperlink" Target="https://www.coralgables.com/attractions/miracle-mile" TargetMode="External" Id="rId220"/><Relationship Type="http://schemas.openxmlformats.org/officeDocument/2006/relationships/hyperlink" Target="https://naomismiami.com/" TargetMode="External" Id="rId221"/><Relationship Type="http://schemas.openxmlformats.org/officeDocument/2006/relationships/hyperlink" Target="https://www.instagram.com/naomismiami/" TargetMode="External" Id="rId222"/><Relationship Type="http://schemas.openxmlformats.org/officeDocument/2006/relationships/hyperlink" Target="https://naomismiami.com/" TargetMode="External" Id="rId223"/><Relationship Type="http://schemas.openxmlformats.org/officeDocument/2006/relationships/hyperlink" Target="https://naomismiami.com/" TargetMode="External" Id="rId224"/><Relationship Type="http://schemas.openxmlformats.org/officeDocument/2006/relationships/hyperlink" Target="https://www.instagram.com/naomismiami/" TargetMode="External" Id="rId225"/><Relationship Type="http://schemas.openxmlformats.org/officeDocument/2006/relationships/hyperlink" Target="https://naomismiami.com/" TargetMode="External" Id="rId226"/><Relationship Type="http://schemas.openxmlformats.org/officeDocument/2006/relationships/hyperlink" Target="https://overundermiami.com/" TargetMode="External" Id="rId227"/><Relationship Type="http://schemas.openxmlformats.org/officeDocument/2006/relationships/hyperlink" Target="https://www.instagram.com/overundermiami/" TargetMode="External" Id="rId228"/><Relationship Type="http://schemas.openxmlformats.org/officeDocument/2006/relationships/hyperlink" Target="https://overundermiami.com/" TargetMode="External" Id="rId229"/><Relationship Type="http://schemas.openxmlformats.org/officeDocument/2006/relationships/hyperlink" Target="https://overundermiami.com/" TargetMode="External" Id="rId230"/><Relationship Type="http://schemas.openxmlformats.org/officeDocument/2006/relationships/hyperlink" Target="https://www.instagram.com/overundermiami/" TargetMode="External" Id="rId231"/><Relationship Type="http://schemas.openxmlformats.org/officeDocument/2006/relationships/hyperlink" Target="https://overundermiami.com/" TargetMode="External" Id="rId232"/><Relationship Type="http://schemas.openxmlformats.org/officeDocument/2006/relationships/hyperlink" Target="https://panthercoffee.com/" TargetMode="External" Id="rId233"/><Relationship Type="http://schemas.openxmlformats.org/officeDocument/2006/relationships/hyperlink" Target="https://www.instagram.com/panthercoffee/" TargetMode="External" Id="rId234"/><Relationship Type="http://schemas.openxmlformats.org/officeDocument/2006/relationships/hyperlink" Target="https://panthercoffee.com/" TargetMode="External" Id="rId235"/><Relationship Type="http://schemas.openxmlformats.org/officeDocument/2006/relationships/hyperlink" Target="https://panthercoffee.com/" TargetMode="External" Id="rId236"/><Relationship Type="http://schemas.openxmlformats.org/officeDocument/2006/relationships/hyperlink" Target="https://www.instagram.com/panthercoffee/" TargetMode="External" Id="rId237"/><Relationship Type="http://schemas.openxmlformats.org/officeDocument/2006/relationships/hyperlink" Target="https://panthercoffee.com/" TargetMode="External" Id="rId238"/><Relationship Type="http://schemas.openxmlformats.org/officeDocument/2006/relationships/hyperlink" Target="https://www.pasiondelcielo.com/" TargetMode="External" Id="rId239"/><Relationship Type="http://schemas.openxmlformats.org/officeDocument/2006/relationships/hyperlink" Target="https://www.instagram.com/pasiondelcielocoffee/" TargetMode="External" Id="rId240"/><Relationship Type="http://schemas.openxmlformats.org/officeDocument/2006/relationships/hyperlink" Target="https://www.pasiondelcielo.com/" TargetMode="External" Id="rId241"/><Relationship Type="http://schemas.openxmlformats.org/officeDocument/2006/relationships/hyperlink" Target="https://www.pasiondelcielo.com/" TargetMode="External" Id="rId242"/><Relationship Type="http://schemas.openxmlformats.org/officeDocument/2006/relationships/hyperlink" Target="https://www.instagram.com/pasiondelcielocoffee/" TargetMode="External" Id="rId243"/><Relationship Type="http://schemas.openxmlformats.org/officeDocument/2006/relationships/hyperlink" Target="https://www.pasiondelcielo.com/" TargetMode="External" Id="rId244"/><Relationship Type="http://schemas.openxmlformats.org/officeDocument/2006/relationships/hyperlink" Target="https://www.plantthefuture.com/" TargetMode="External" Id="rId245"/><Relationship Type="http://schemas.openxmlformats.org/officeDocument/2006/relationships/hyperlink" Target="https://www.instagram.com/plantthefuture/" TargetMode="External" Id="rId246"/><Relationship Type="http://schemas.openxmlformats.org/officeDocument/2006/relationships/hyperlink" Target="https://www.plantthefuture.com/" TargetMode="External" Id="rId247"/><Relationship Type="http://schemas.openxmlformats.org/officeDocument/2006/relationships/hyperlink" Target="https://www.plantthefuture.com/" TargetMode="External" Id="rId248"/><Relationship Type="http://schemas.openxmlformats.org/officeDocument/2006/relationships/hyperlink" Target="https://www.instagram.com/plantthefuture/" TargetMode="External" Id="rId249"/><Relationship Type="http://schemas.openxmlformats.org/officeDocument/2006/relationships/hyperlink" Target="https://www.plantthefuture.com/" TargetMode="External" Id="rId250"/><Relationship Type="http://schemas.openxmlformats.org/officeDocument/2006/relationships/hyperlink" Target="https://www.pamm.org/" TargetMode="External" Id="rId251"/><Relationship Type="http://schemas.openxmlformats.org/officeDocument/2006/relationships/hyperlink" Target="https://www.instagram.com/pamm/" TargetMode="External" Id="rId252"/><Relationship Type="http://schemas.openxmlformats.org/officeDocument/2006/relationships/hyperlink" Target="https://www.pamm.org/" TargetMode="External" Id="rId253"/><Relationship Type="http://schemas.openxmlformats.org/officeDocument/2006/relationships/hyperlink" Target="https://www.pamm.org/" TargetMode="External" Id="rId254"/><Relationship Type="http://schemas.openxmlformats.org/officeDocument/2006/relationships/hyperlink" Target="https://www.instagram.com/pamm/" TargetMode="External" Id="rId255"/><Relationship Type="http://schemas.openxmlformats.org/officeDocument/2006/relationships/hyperlink" Target="https://www.pamm.org/" TargetMode="External" Id="rId256"/><Relationship Type="http://schemas.openxmlformats.org/officeDocument/2006/relationships/hyperlink" Target="https://www.regattaharbour.com/" TargetMode="External" Id="rId257"/><Relationship Type="http://schemas.openxmlformats.org/officeDocument/2006/relationships/hyperlink" Target="https://www.instagram.com/regattaharbour/" TargetMode="External" Id="rId258"/><Relationship Type="http://schemas.openxmlformats.org/officeDocument/2006/relationships/hyperlink" Target="https://www.regattaharbour.com/" TargetMode="External" Id="rId259"/><Relationship Type="http://schemas.openxmlformats.org/officeDocument/2006/relationships/hyperlink" Target="https://www.regattaharbour.com/" TargetMode="External" Id="rId260"/><Relationship Type="http://schemas.openxmlformats.org/officeDocument/2006/relationships/hyperlink" Target="https://www.instagram.com/regattaharbour/" TargetMode="External" Id="rId261"/><Relationship Type="http://schemas.openxmlformats.org/officeDocument/2006/relationships/hyperlink" Target="https://www.regattaharbour.com/" TargetMode="External" Id="rId262"/><Relationship Type="http://schemas.openxmlformats.org/officeDocument/2006/relationships/hyperlink" Target="https://fairchildgarden.org/" TargetMode="External" Id="rId263"/><Relationship Type="http://schemas.openxmlformats.org/officeDocument/2006/relationships/hyperlink" Target="https://www.instagram.com/fairchildgarden/" TargetMode="External" Id="rId264"/><Relationship Type="http://schemas.openxmlformats.org/officeDocument/2006/relationships/hyperlink" Target="https://fairchildgarden.org/" TargetMode="External" Id="rId265"/><Relationship Type="http://schemas.openxmlformats.org/officeDocument/2006/relationships/hyperlink" Target="https://fairchildgarden.org/" TargetMode="External" Id="rId266"/><Relationship Type="http://schemas.openxmlformats.org/officeDocument/2006/relationships/hyperlink" Target="https://www.instagram.com/fairchildgarden/" TargetMode="External" Id="rId267"/><Relationship Type="http://schemas.openxmlformats.org/officeDocument/2006/relationships/hyperlink" Target="https://fairchildgarden.org/" TargetMode="External" Id="rId268"/><Relationship Type="http://schemas.openxmlformats.org/officeDocument/2006/relationships/hyperlink" Target="https://www.rosettabakery.com/" TargetMode="External" Id="rId269"/><Relationship Type="http://schemas.openxmlformats.org/officeDocument/2006/relationships/hyperlink" Target="https://www.instagram.com/rosettabakery/" TargetMode="External" Id="rId270"/><Relationship Type="http://schemas.openxmlformats.org/officeDocument/2006/relationships/hyperlink" Target="https://www.rosettabakery.com/" TargetMode="External" Id="rId271"/><Relationship Type="http://schemas.openxmlformats.org/officeDocument/2006/relationships/hyperlink" Target="https://www.rosettabakery.com/" TargetMode="External" Id="rId272"/><Relationship Type="http://schemas.openxmlformats.org/officeDocument/2006/relationships/hyperlink" Target="https://www.instagram.com/rosettabakery/" TargetMode="External" Id="rId273"/><Relationship Type="http://schemas.openxmlformats.org/officeDocument/2006/relationships/hyperlink" Target="https://www.rosettabakery.com/" TargetMode="External" Id="rId274"/><Relationship Type="http://schemas.openxmlformats.org/officeDocument/2006/relationships/hyperlink" Target="https://rubellmuseum.org/" TargetMode="External" Id="rId275"/><Relationship Type="http://schemas.openxmlformats.org/officeDocument/2006/relationships/hyperlink" Target="https://www.instagram.com/rubellmuseum/" TargetMode="External" Id="rId276"/><Relationship Type="http://schemas.openxmlformats.org/officeDocument/2006/relationships/hyperlink" Target="https://rubellmuseum.org/" TargetMode="External" Id="rId277"/><Relationship Type="http://schemas.openxmlformats.org/officeDocument/2006/relationships/hyperlink" Target="https://rubellmuseum.org/" TargetMode="External" Id="rId278"/><Relationship Type="http://schemas.openxmlformats.org/officeDocument/2006/relationships/hyperlink" Target="https://www.instagram.com/rubellmuseum/" TargetMode="External" Id="rId279"/><Relationship Type="http://schemas.openxmlformats.org/officeDocument/2006/relationships/hyperlink" Target="https://rubellmuseum.org/" TargetMode="External" Id="rId280"/><Relationship Type="http://schemas.openxmlformats.org/officeDocument/2006/relationships/hyperlink" Target="https://sexyfishmiami.com/" TargetMode="External" Id="rId281"/><Relationship Type="http://schemas.openxmlformats.org/officeDocument/2006/relationships/hyperlink" Target="https://www.instagram.com/sexyfishmiami/" TargetMode="External" Id="rId282"/><Relationship Type="http://schemas.openxmlformats.org/officeDocument/2006/relationships/hyperlink" Target="https://sexyfishmiami.com/" TargetMode="External" Id="rId283"/><Relationship Type="http://schemas.openxmlformats.org/officeDocument/2006/relationships/hyperlink" Target="https://sexyfishmiami.com/" TargetMode="External" Id="rId284"/><Relationship Type="http://schemas.openxmlformats.org/officeDocument/2006/relationships/hyperlink" Target="https://www.instagram.com/sexyfishmiami/" TargetMode="External" Id="rId285"/><Relationship Type="http://schemas.openxmlformats.org/officeDocument/2006/relationships/hyperlink" Target="https://sexyfishmiami.com/" TargetMode="External" Id="rId286"/><Relationship Type="http://schemas.openxmlformats.org/officeDocument/2006/relationships/hyperlink" Target="https://www.easthotels.com/en/miami/restaurants-and-bars/sugar/" TargetMode="External" Id="rId287"/><Relationship Type="http://schemas.openxmlformats.org/officeDocument/2006/relationships/hyperlink" Target="https://www.instagram.com/sugar.rooftop/" TargetMode="External" Id="rId288"/><Relationship Type="http://schemas.openxmlformats.org/officeDocument/2006/relationships/hyperlink" Target="https://www.easthotels.com/en/miami/restaurants-and-bars/sugar/" TargetMode="External" Id="rId289"/><Relationship Type="http://schemas.openxmlformats.org/officeDocument/2006/relationships/hyperlink" Target="https://www.easthotels.com/en/miami/restaurants-and-bars/sugar/" TargetMode="External" Id="rId290"/><Relationship Type="http://schemas.openxmlformats.org/officeDocument/2006/relationships/hyperlink" Target="https://www.instagram.com/sugar.rooftop/" TargetMode="External" Id="rId291"/><Relationship Type="http://schemas.openxmlformats.org/officeDocument/2006/relationships/hyperlink" Target="https://www.easthotels.com/en/miami/restaurants-and-bars/sugar/" TargetMode="External" Id="rId292"/><Relationship Type="http://schemas.openxmlformats.org/officeDocument/2006/relationships/hyperlink" Target="https://www.superblue.com/" TargetMode="External" Id="rId293"/><Relationship Type="http://schemas.openxmlformats.org/officeDocument/2006/relationships/hyperlink" Target="https://www.instagram.com/superbluemiami/" TargetMode="External" Id="rId294"/><Relationship Type="http://schemas.openxmlformats.org/officeDocument/2006/relationships/hyperlink" Target="https://www.superblue.com/" TargetMode="External" Id="rId295"/><Relationship Type="http://schemas.openxmlformats.org/officeDocument/2006/relationships/hyperlink" Target="https://www.superblue.com/" TargetMode="External" Id="rId296"/><Relationship Type="http://schemas.openxmlformats.org/officeDocument/2006/relationships/hyperlink" Target="https://www.instagram.com/superbluemiami/" TargetMode="External" Id="rId297"/><Relationship Type="http://schemas.openxmlformats.org/officeDocument/2006/relationships/hyperlink" Target="https://www.superblue.com/" TargetMode="External" Id="rId298"/><Relationship Type="http://schemas.openxmlformats.org/officeDocument/2006/relationships/hyperlink" Target="https://www.sweatrecordsmiami.com/" TargetMode="External" Id="rId299"/><Relationship Type="http://schemas.openxmlformats.org/officeDocument/2006/relationships/hyperlink" Target="https://www.instagram.com/sweatrecords/" TargetMode="External" Id="rId300"/><Relationship Type="http://schemas.openxmlformats.org/officeDocument/2006/relationships/hyperlink" Target="https://www.sweatrecordsmiami.com/" TargetMode="External" Id="rId301"/><Relationship Type="http://schemas.openxmlformats.org/officeDocument/2006/relationships/hyperlink" Target="https://www.sweatrecordsmiami.com/" TargetMode="External" Id="rId302"/><Relationship Type="http://schemas.openxmlformats.org/officeDocument/2006/relationships/hyperlink" Target="https://www.instagram.com/sweatrecords/" TargetMode="External" Id="rId303"/><Relationship Type="http://schemas.openxmlformats.org/officeDocument/2006/relationships/hyperlink" Target="https://www.sweatrecordsmiami.com/" TargetMode="External" Id="rId304"/><Relationship Type="http://schemas.openxmlformats.org/officeDocument/2006/relationships/hyperlink" Target="https://www.easthotels.com/en/miami/restaurants-and-bars/tea-room/" TargetMode="External" Id="rId305"/><Relationship Type="http://schemas.openxmlformats.org/officeDocument/2006/relationships/hyperlink" Target="https://www.instagram.com/tearoom.mia/" TargetMode="External" Id="rId306"/><Relationship Type="http://schemas.openxmlformats.org/officeDocument/2006/relationships/hyperlink" Target="https://www.easthotels.com/en/miami/restaurants-and-bars/tea-room/" TargetMode="External" Id="rId307"/><Relationship Type="http://schemas.openxmlformats.org/officeDocument/2006/relationships/hyperlink" Target="https://www.easthotels.com/en/miami/restaurants-and-bars/tea-room/" TargetMode="External" Id="rId308"/><Relationship Type="http://schemas.openxmlformats.org/officeDocument/2006/relationships/hyperlink" Target="https://www.instagram.com/tearoom.mia/" TargetMode="External" Id="rId309"/><Relationship Type="http://schemas.openxmlformats.org/officeDocument/2006/relationships/hyperlink" Target="https://www.easthotels.com/en/miami/restaurants-and-bars/tea-room/" TargetMode="External" Id="rId310"/><Relationship Type="http://schemas.openxmlformats.org/officeDocument/2006/relationships/hyperlink" Target="https://thebass.org/" TargetMode="External" Id="rId311"/><Relationship Type="http://schemas.openxmlformats.org/officeDocument/2006/relationships/hyperlink" Target="https://www.instagram.com/thebassmoa/" TargetMode="External" Id="rId312"/><Relationship Type="http://schemas.openxmlformats.org/officeDocument/2006/relationships/hyperlink" Target="https://thebass.org/" TargetMode="External" Id="rId313"/><Relationship Type="http://schemas.openxmlformats.org/officeDocument/2006/relationships/hyperlink" Target="https://thebass.org/" TargetMode="External" Id="rId314"/><Relationship Type="http://schemas.openxmlformats.org/officeDocument/2006/relationships/hyperlink" Target="https://www.instagram.com/thebassmoa/" TargetMode="External" Id="rId315"/><Relationship Type="http://schemas.openxmlformats.org/officeDocument/2006/relationships/hyperlink" Target="https://thebass.org/" TargetMode="External" Id="rId316"/><Relationship Type="http://schemas.openxmlformats.org/officeDocument/2006/relationships/hyperlink" Target="https://www.thecornermiami.com/" TargetMode="External" Id="rId317"/><Relationship Type="http://schemas.openxmlformats.org/officeDocument/2006/relationships/hyperlink" Target="https://www.instagram.com/thecornermiami/" TargetMode="External" Id="rId318"/><Relationship Type="http://schemas.openxmlformats.org/officeDocument/2006/relationships/hyperlink" Target="https://www.thecornermiami.com/" TargetMode="External" Id="rId319"/><Relationship Type="http://schemas.openxmlformats.org/officeDocument/2006/relationships/hyperlink" Target="https://www.thecornermiami.com/" TargetMode="External" Id="rId320"/><Relationship Type="http://schemas.openxmlformats.org/officeDocument/2006/relationships/hyperlink" Target="https://www.instagram.com/thecornermiami/" TargetMode="External" Id="rId321"/><Relationship Type="http://schemas.openxmlformats.org/officeDocument/2006/relationships/hyperlink" Target="https://www.thecornermiami.com/" TargetMode="External" Id="rId322"/><Relationship Type="http://schemas.openxmlformats.org/officeDocument/2006/relationships/hyperlink" Target="https://ntbg.org/gardens/kampong/" TargetMode="External" Id="rId323"/><Relationship Type="http://schemas.openxmlformats.org/officeDocument/2006/relationships/hyperlink" Target="https://www.instagram.com/thekampong/" TargetMode="External" Id="rId324"/><Relationship Type="http://schemas.openxmlformats.org/officeDocument/2006/relationships/hyperlink" Target="https://ntbg.org/gardens/kampong/" TargetMode="External" Id="rId325"/><Relationship Type="http://schemas.openxmlformats.org/officeDocument/2006/relationships/hyperlink" Target="https://ntbg.org/gardens/kampong/" TargetMode="External" Id="rId326"/><Relationship Type="http://schemas.openxmlformats.org/officeDocument/2006/relationships/hyperlink" Target="https://www.instagram.com/thekampong/" TargetMode="External" Id="rId327"/><Relationship Type="http://schemas.openxmlformats.org/officeDocument/2006/relationships/hyperlink" Target="https://ntbg.org/gardens/kampong/" TargetMode="External" Id="rId328"/><Relationship Type="http://schemas.openxmlformats.org/officeDocument/2006/relationships/hyperlink" Target="https://www.saltydonut.com/locations/wynwood" TargetMode="External" Id="rId329"/><Relationship Type="http://schemas.openxmlformats.org/officeDocument/2006/relationships/hyperlink" Target="https://www.instagram.com/thesaltydonut/" TargetMode="External" Id="rId330"/><Relationship Type="http://schemas.openxmlformats.org/officeDocument/2006/relationships/hyperlink" Target="https://www.saltydonut.com/locations/wynwood" TargetMode="External" Id="rId331"/><Relationship Type="http://schemas.openxmlformats.org/officeDocument/2006/relationships/hyperlink" Target="https://www.saltydonut.com/locations/wynwood" TargetMode="External" Id="rId332"/><Relationship Type="http://schemas.openxmlformats.org/officeDocument/2006/relationships/hyperlink" Target="https://www.instagram.com/thesaltydonut/" TargetMode="External" Id="rId333"/><Relationship Type="http://schemas.openxmlformats.org/officeDocument/2006/relationships/hyperlink" Target="https://www.saltydonut.com/locations/wynwood" TargetMode="External" Id="rId334"/><Relationship Type="http://schemas.openxmlformats.org/officeDocument/2006/relationships/hyperlink" Target="https://www.standardhotels.com/miami/properties/miami-beach" TargetMode="External" Id="rId335"/><Relationship Type="http://schemas.openxmlformats.org/officeDocument/2006/relationships/hyperlink" Target="https://www.instagram.com/thestandardmiami/" TargetMode="External" Id="rId336"/><Relationship Type="http://schemas.openxmlformats.org/officeDocument/2006/relationships/hyperlink" Target="https://www.standardhotels.com/miami/properties/miami-beach" TargetMode="External" Id="rId337"/><Relationship Type="http://schemas.openxmlformats.org/officeDocument/2006/relationships/hyperlink" Target="https://www.standardhotels.com/miami/properties/miami-beach" TargetMode="External" Id="rId338"/><Relationship Type="http://schemas.openxmlformats.org/officeDocument/2006/relationships/hyperlink" Target="https://www.instagram.com/thestandardmiami/" TargetMode="External" Id="rId339"/><Relationship Type="http://schemas.openxmlformats.org/officeDocument/2006/relationships/hyperlink" Target="https://www.standardhotels.com/miami/properties/miami-beach" TargetMode="External" Id="rId340"/><Relationship Type="http://schemas.openxmlformats.org/officeDocument/2006/relationships/hyperlink" Target="https://thetemplehouse.com/" TargetMode="External" Id="rId341"/><Relationship Type="http://schemas.openxmlformats.org/officeDocument/2006/relationships/hyperlink" Target="https://www.instagram.com/thetemplehouse/" TargetMode="External" Id="rId342"/><Relationship Type="http://schemas.openxmlformats.org/officeDocument/2006/relationships/hyperlink" Target="https://thetemplehouse.com/" TargetMode="External" Id="rId343"/><Relationship Type="http://schemas.openxmlformats.org/officeDocument/2006/relationships/hyperlink" Target="https://thetemplehouse.com/" TargetMode="External" Id="rId344"/><Relationship Type="http://schemas.openxmlformats.org/officeDocument/2006/relationships/hyperlink" Target="https://www.instagram.com/thetemplehouse/" TargetMode="External" Id="rId345"/><Relationship Type="http://schemas.openxmlformats.org/officeDocument/2006/relationships/hyperlink" Target="https://thetemplehouse.com/" TargetMode="External" Id="rId346"/><Relationship Type="http://schemas.openxmlformats.org/officeDocument/2006/relationships/hyperlink" Target="https://www.threefoldcafe.com/" TargetMode="External" Id="rId347"/><Relationship Type="http://schemas.openxmlformats.org/officeDocument/2006/relationships/hyperlink" Target="https://www.instagram.com/threefoldcafe/" TargetMode="External" Id="rId348"/><Relationship Type="http://schemas.openxmlformats.org/officeDocument/2006/relationships/hyperlink" Target="https://www.threefoldcafe.com/" TargetMode="External" Id="rId349"/><Relationship Type="http://schemas.openxmlformats.org/officeDocument/2006/relationships/hyperlink" Target="https://www.threefoldcafe.com/" TargetMode="External" Id="rId350"/><Relationship Type="http://schemas.openxmlformats.org/officeDocument/2006/relationships/hyperlink" Target="https://www.instagram.com/threefoldcafe/" TargetMode="External" Id="rId351"/><Relationship Type="http://schemas.openxmlformats.org/officeDocument/2006/relationships/hyperlink" Target="https://www.threefoldcafe.com/" TargetMode="External" Id="rId352"/><Relationship Type="http://schemas.openxmlformats.org/officeDocument/2006/relationships/hyperlink" Target="https://www.mangotreemiami.com/" TargetMode="External" Id="rId353"/><Relationship Type="http://schemas.openxmlformats.org/officeDocument/2006/relationships/hyperlink" Target="https://www.instagram.com/underthemangotreemiami/" TargetMode="External" Id="rId354"/><Relationship Type="http://schemas.openxmlformats.org/officeDocument/2006/relationships/hyperlink" Target="https://www.mangotreemiami.com/" TargetMode="External" Id="rId355"/><Relationship Type="http://schemas.openxmlformats.org/officeDocument/2006/relationships/hyperlink" Target="https://www.mangotreemiami.com/" TargetMode="External" Id="rId356"/><Relationship Type="http://schemas.openxmlformats.org/officeDocument/2006/relationships/hyperlink" Target="https://www.instagram.com/underthemangotreemiami/" TargetMode="External" Id="rId357"/><Relationship Type="http://schemas.openxmlformats.org/officeDocument/2006/relationships/hyperlink" Target="https://www.mangotreemiami.com/" TargetMode="External" Id="rId358"/><Relationship Type="http://schemas.openxmlformats.org/officeDocument/2006/relationships/hyperlink" Target="https://vicecitybean.com/" TargetMode="External" Id="rId359"/><Relationship Type="http://schemas.openxmlformats.org/officeDocument/2006/relationships/hyperlink" Target="https://www.instagram.com/vicecitybean/" TargetMode="External" Id="rId360"/><Relationship Type="http://schemas.openxmlformats.org/officeDocument/2006/relationships/hyperlink" Target="https://vicecitybean.com/" TargetMode="External" Id="rId361"/><Relationship Type="http://schemas.openxmlformats.org/officeDocument/2006/relationships/hyperlink" Target="https://vicecitybean.com/" TargetMode="External" Id="rId362"/><Relationship Type="http://schemas.openxmlformats.org/officeDocument/2006/relationships/hyperlink" Target="https://www.instagram.com/vicecitybean/" TargetMode="External" Id="rId363"/><Relationship Type="http://schemas.openxmlformats.org/officeDocument/2006/relationships/hyperlink" Target="https://vicecitybean.com/" TargetMode="External" Id="rId364"/><Relationship Type="http://schemas.openxmlformats.org/officeDocument/2006/relationships/hyperlink" Target="https://thewynwoodwalls.com/" TargetMode="External" Id="rId365"/><Relationship Type="http://schemas.openxmlformats.org/officeDocument/2006/relationships/hyperlink" Target="https://www.instagram.com/wynwoodwallsofficial/" TargetMode="External" Id="rId366"/><Relationship Type="http://schemas.openxmlformats.org/officeDocument/2006/relationships/hyperlink" Target="https://thewynwoodwalls.com/" TargetMode="External" Id="rId367"/><Relationship Type="http://schemas.openxmlformats.org/officeDocument/2006/relationships/hyperlink" Target="https://thewynwoodwalls.com/" TargetMode="External" Id="rId368"/><Relationship Type="http://schemas.openxmlformats.org/officeDocument/2006/relationships/hyperlink" Target="https://www.instagram.com/wynwoodwallsofficial/" TargetMode="External" Id="rId369"/><Relationship Type="http://schemas.openxmlformats.org/officeDocument/2006/relationships/hyperlink" Target="https://thewynwoodwalls.com/" TargetMode="External" Id="rId370"/></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hyperlink" Target="https://rubellmuseum.org/" TargetMode="External" Id="rId1"/><Relationship Type="http://schemas.openxmlformats.org/officeDocument/2006/relationships/hyperlink" Target="https://www.google.com/search?q=Rubell+Museum+Miami+reviews" TargetMode="External" Id="rId2"/><Relationship Type="http://schemas.openxmlformats.org/officeDocument/2006/relationships/hyperlink" Target="https://www.instagram.com/rubellmuseum/" TargetMode="External" Id="rId3"/><Relationship Type="http://schemas.openxmlformats.org/officeDocument/2006/relationships/hyperlink" Target="https://www.superblue.com/" TargetMode="External" Id="rId4"/><Relationship Type="http://schemas.openxmlformats.org/officeDocument/2006/relationships/hyperlink" Target="https://www.yelp.com/biz/superblue-miami-miami-2" TargetMode="External" Id="rId5"/><Relationship Type="http://schemas.openxmlformats.org/officeDocument/2006/relationships/hyperlink" Target="https://www.instagram.com/superbluemiami/" TargetMode="External" Id="rId6"/><Relationship Type="http://schemas.openxmlformats.org/officeDocument/2006/relationships/hyperlink" Target="https://www.standardhotels.com/miami/properties/miami-beach" TargetMode="External" Id="rId7"/><Relationship Type="http://schemas.openxmlformats.org/officeDocument/2006/relationships/hyperlink" Target="https://www.yelp.com/biz/the-standard-spa-hotel-miami-beach" TargetMode="External" Id="rId8"/><Relationship Type="http://schemas.openxmlformats.org/officeDocument/2006/relationships/hyperlink" Target="https://www.instagram.com/thestandardmiami/" TargetMode="External" Id="rId9"/><Relationship Type="http://schemas.openxmlformats.org/officeDocument/2006/relationships/hyperlink" Target="https://brickellcitycentre.com/" TargetMode="External" Id="rId10"/><Relationship Type="http://schemas.openxmlformats.org/officeDocument/2006/relationships/hyperlink" Target="https://www.google.com/search?q=Brickell+City+Centre+Miami+reviews" TargetMode="External" Id="rId11"/><Relationship Type="http://schemas.openxmlformats.org/officeDocument/2006/relationships/hyperlink" Target="https://www.instagram.com/brickellcitycentre/" TargetMode="External" Id="rId12"/><Relationship Type="http://schemas.openxmlformats.org/officeDocument/2006/relationships/hyperlink" Target="https://komodomiami.com/" TargetMode="External" Id="rId13"/><Relationship Type="http://schemas.openxmlformats.org/officeDocument/2006/relationships/hyperlink" Target="https://www.google.com/search?q=Komodo+Miami+Brickell+reviews" TargetMode="External" Id="rId14"/><Relationship Type="http://schemas.openxmlformats.org/officeDocument/2006/relationships/hyperlink" Target="https://www.instagram.com/komodomiami/" TargetMode="External" Id="rId15"/><Relationship Type="http://schemas.openxmlformats.org/officeDocument/2006/relationships/hyperlink" Target="https://dos.fl.gov/historical/archaeology/projects/miami-circle/" TargetMode="External" Id="rId16"/><Relationship Type="http://schemas.openxmlformats.org/officeDocument/2006/relationships/hyperlink" Target="https://www.google.com/search?q=Miami+Circle+Park+Brickell+reviews" TargetMode="External" Id="rId17"/><Relationship Type="http://schemas.openxmlformats.org/officeDocument/2006/relationships/hyperlink" Target="https://www.pasiondelcielo.com/" TargetMode="External" Id="rId18"/><Relationship Type="http://schemas.openxmlformats.org/officeDocument/2006/relationships/hyperlink" Target="https://www.google.com/maps/search/?api=1&amp;query=Pasion+del+Cielo+Coffee+907+Brickell+Ave+Miami+FL" TargetMode="External" Id="rId19"/><Relationship Type="http://schemas.openxmlformats.org/officeDocument/2006/relationships/hyperlink" Target="https://www.instagram.com/pasiondelcielocoffee/" TargetMode="External" Id="rId20"/><Relationship Type="http://schemas.openxmlformats.org/officeDocument/2006/relationships/hyperlink" Target="https://sexyfishmiami.com/" TargetMode="External" Id="rId21"/><Relationship Type="http://schemas.openxmlformats.org/officeDocument/2006/relationships/hyperlink" Target="https://www.google.com/search?q=Sexy+Fish+Miami+reviews" TargetMode="External" Id="rId22"/><Relationship Type="http://schemas.openxmlformats.org/officeDocument/2006/relationships/hyperlink" Target="https://www.instagram.com/sexyfishmiami/" TargetMode="External" Id="rId23"/><Relationship Type="http://schemas.openxmlformats.org/officeDocument/2006/relationships/hyperlink" Target="https://www.easthotels.com/en/miami/restaurants-and-bars/sugar/" TargetMode="External" Id="rId24"/><Relationship Type="http://schemas.openxmlformats.org/officeDocument/2006/relationships/hyperlink" Target="https://www.yelp.com/biz/sugar-miami-2" TargetMode="External" Id="rId25"/><Relationship Type="http://schemas.openxmlformats.org/officeDocument/2006/relationships/hyperlink" Target="https://www.instagram.com/sugar.rooftop/" TargetMode="External" Id="rId26"/><Relationship Type="http://schemas.openxmlformats.org/officeDocument/2006/relationships/hyperlink" Target="https://www.easthotels.com/en/miami/restaurants-and-bars/tea-room/" TargetMode="External" Id="rId27"/><Relationship Type="http://schemas.openxmlformats.org/officeDocument/2006/relationships/hyperlink" Target="https://www.google.com/search?q=Tea+Room+EAST+Miami+788+Brickell+Plaza+reviews" TargetMode="External" Id="rId28"/><Relationship Type="http://schemas.openxmlformats.org/officeDocument/2006/relationships/hyperlink" Target="https://www.instagram.com/tearoom.mia/" TargetMode="External" Id="rId29"/><Relationship Type="http://schemas.openxmlformats.org/officeDocument/2006/relationships/hyperlink" Target="https://www.midoriemiami.com/" TargetMode="External" Id="rId30"/><Relationship Type="http://schemas.openxmlformats.org/officeDocument/2006/relationships/hyperlink" Target="https://www.google.com/maps/search/?api=1&amp;query=Midorie+Miami+3444+Main+Hwy+Miami+FL" TargetMode="External" Id="rId31"/><Relationship Type="http://schemas.openxmlformats.org/officeDocument/2006/relationships/hyperlink" Target="https://www.instagram.com/midorie_miami/" TargetMode="External" Id="rId32"/><Relationship Type="http://schemas.openxmlformats.org/officeDocument/2006/relationships/hyperlink" Target="https://www.regattaharbour.com/" TargetMode="External" Id="rId33"/><Relationship Type="http://schemas.openxmlformats.org/officeDocument/2006/relationships/hyperlink" Target="https://www.google.com/maps/search/?api=1&amp;query=Regatta+Harbour+3385+Pan+American+Dr+Miami+FL" TargetMode="External" Id="rId34"/><Relationship Type="http://schemas.openxmlformats.org/officeDocument/2006/relationships/hyperlink" Target="https://www.instagram.com/regattaharbour/" TargetMode="External" Id="rId35"/><Relationship Type="http://schemas.openxmlformats.org/officeDocument/2006/relationships/hyperlink" Target="https://ntbg.org/gardens/kampong/" TargetMode="External" Id="rId36"/><Relationship Type="http://schemas.openxmlformats.org/officeDocument/2006/relationships/hyperlink" Target="https://www.google.com/search?q=The+Kampong+4013+S+Douglas+Rd+Coconut+Grove+reviews" TargetMode="External" Id="rId37"/><Relationship Type="http://schemas.openxmlformats.org/officeDocument/2006/relationships/hyperlink" Target="https://www.instagram.com/thekampong/" TargetMode="External" Id="rId38"/><Relationship Type="http://schemas.openxmlformats.org/officeDocument/2006/relationships/hyperlink" Target="https://antoniobachour.com/" TargetMode="External" Id="rId39"/><Relationship Type="http://schemas.openxmlformats.org/officeDocument/2006/relationships/hyperlink" Target="https://www.yelp.com/biz/bachour-coral-gables" TargetMode="External" Id="rId40"/><Relationship Type="http://schemas.openxmlformats.org/officeDocument/2006/relationships/hyperlink" Target="https://www.instagram.com/bachourmiami/" TargetMode="External" Id="rId41"/><Relationship Type="http://schemas.openxmlformats.org/officeDocument/2006/relationships/hyperlink" Target="https://www.booksandbooks.com/" TargetMode="External" Id="rId42"/><Relationship Type="http://schemas.openxmlformats.org/officeDocument/2006/relationships/hyperlink" Target="https://www.google.com/search?q=Books+%26+Books+265+Aragon+Ave+Coral+Gables+reviews" TargetMode="External" Id="rId43"/><Relationship Type="http://schemas.openxmlformats.org/officeDocument/2006/relationships/hyperlink" Target="https://www.instagram.com/booksandbooks/" TargetMode="External" Id="rId44"/><Relationship Type="http://schemas.openxmlformats.org/officeDocument/2006/relationships/hyperlink" Target="https://gablesucc.org/" TargetMode="External" Id="rId45"/><Relationship Type="http://schemas.openxmlformats.org/officeDocument/2006/relationships/hyperlink" Target="https://www.google.com/search?q=Coral+Gables+Congregational+Church+3010+De+Soto+Blvd+reviews" TargetMode="External" Id="rId46"/><Relationship Type="http://schemas.openxmlformats.org/officeDocument/2006/relationships/hyperlink" Target="https://www.instagram.com/coralgablesucc/" TargetMode="External" Id="rId47"/><Relationship Type="http://schemas.openxmlformats.org/officeDocument/2006/relationships/hyperlink" Target="https://www.coralgables.com/attractions/giralda-plaza" TargetMode="External" Id="rId48"/><Relationship Type="http://schemas.openxmlformats.org/officeDocument/2006/relationships/hyperlink" Target="https://www.google.com/maps/search/?api=1&amp;query=Giralda+Plaza+Coral+Gables+FL" TargetMode="External" Id="rId49"/><Relationship Type="http://schemas.openxmlformats.org/officeDocument/2006/relationships/hyperlink" Target="https://www.instagram.com/giraldaplaza/" TargetMode="External" Id="rId50"/><Relationship Type="http://schemas.openxmlformats.org/officeDocument/2006/relationships/hyperlink" Target="https://www.coralgables.com/attractions/miracle-mile" TargetMode="External" Id="rId51"/><Relationship Type="http://schemas.openxmlformats.org/officeDocument/2006/relationships/hyperlink" Target="https://www.google.com/maps/search/?api=1&amp;query=Miracle+Mile+Coral+Gables+FL" TargetMode="External" Id="rId52"/><Relationship Type="http://schemas.openxmlformats.org/officeDocument/2006/relationships/hyperlink" Target="https://www.instagram.com/cityofcoralgables/" TargetMode="External" Id="rId53"/><Relationship Type="http://schemas.openxmlformats.org/officeDocument/2006/relationships/hyperlink" Target="https://fairchildgarden.org/" TargetMode="External" Id="rId54"/><Relationship Type="http://schemas.openxmlformats.org/officeDocument/2006/relationships/hyperlink" Target="https://www.google.com/search?q=Fairchild+Tropical+Botanic+Garden+reviews" TargetMode="External" Id="rId55"/><Relationship Type="http://schemas.openxmlformats.org/officeDocument/2006/relationships/hyperlink" Target="https://www.instagram.com/fairchildgarden/" TargetMode="External" Id="rId56"/><Relationship Type="http://schemas.openxmlformats.org/officeDocument/2006/relationships/hyperlink" Target="https://www.threefoldcafe.com/" TargetMode="External" Id="rId57"/><Relationship Type="http://schemas.openxmlformats.org/officeDocument/2006/relationships/hyperlink" Target="https://www.google.com/search?q=Threefold+Cafe+141+Giralda+Ave+Coral+Gables+reviews" TargetMode="External" Id="rId58"/><Relationship Type="http://schemas.openxmlformats.org/officeDocument/2006/relationships/hyperlink" Target="https://www.instagram.com/threefoldcafe/" TargetMode="External" Id="rId59"/><Relationship Type="http://schemas.openxmlformats.org/officeDocument/2006/relationships/hyperlink" Target="https://el-carajo.com/" TargetMode="External" Id="rId60"/><Relationship Type="http://schemas.openxmlformats.org/officeDocument/2006/relationships/hyperlink" Target="https://www.google.com/maps/search/?api=1&amp;query=El+Carajo+2465+SW+17th+Ave+Miami+FL" TargetMode="External" Id="rId61"/><Relationship Type="http://schemas.openxmlformats.org/officeDocument/2006/relationships/hyperlink" Target="https://www.instagram.com/theelcarajo/" TargetMode="External" Id="rId62"/><Relationship Type="http://schemas.openxmlformats.org/officeDocument/2006/relationships/hyperlink" Target="https://dalezine.com/" TargetMode="External" Id="rId63"/><Relationship Type="http://schemas.openxmlformats.org/officeDocument/2006/relationships/hyperlink" Target="https://www.google.com/search?q=Dale+Zine+50+NE+40th+St+Miami+reviews" TargetMode="External" Id="rId64"/><Relationship Type="http://schemas.openxmlformats.org/officeDocument/2006/relationships/hyperlink" Target="https://www.instagram.com/dale_zine/" TargetMode="External" Id="rId65"/><Relationship Type="http://schemas.openxmlformats.org/officeDocument/2006/relationships/hyperlink" Target="https://icamiami.org/" TargetMode="External" Id="rId66"/><Relationship Type="http://schemas.openxmlformats.org/officeDocument/2006/relationships/hyperlink" Target="https://www.yelp.com/biz/institute-of-contemporary-art-miami-miami-2" TargetMode="External" Id="rId67"/><Relationship Type="http://schemas.openxmlformats.org/officeDocument/2006/relationships/hyperlink" Target="https://www.instagram.com/icamiami/" TargetMode="External" Id="rId68"/><Relationship Type="http://schemas.openxmlformats.org/officeDocument/2006/relationships/hyperlink" Target="https://www.miamidesigndistrict.com/event-venue/742/jungle-plaza/" TargetMode="External" Id="rId69"/><Relationship Type="http://schemas.openxmlformats.org/officeDocument/2006/relationships/hyperlink" Target="https://www.google.com/maps/search/?api=1&amp;query=Jungle+Plaza+3801+NE+1st+Ave+Miami+FL" TargetMode="External" Id="rId70"/><Relationship Type="http://schemas.openxmlformats.org/officeDocument/2006/relationships/hyperlink" Target="https://www.instagram.com/miamidesigndistrict/" TargetMode="External" Id="rId71"/><Relationship Type="http://schemas.openxmlformats.org/officeDocument/2006/relationships/hyperlink" Target="https://www.miamidesigndistrict.com/" TargetMode="External" Id="rId72"/><Relationship Type="http://schemas.openxmlformats.org/officeDocument/2006/relationships/hyperlink" Target="https://www.google.com/search?q=Miami+Design+District+reviews" TargetMode="External" Id="rId73"/><Relationship Type="http://schemas.openxmlformats.org/officeDocument/2006/relationships/hyperlink" Target="https://www.instagram.com/miamidesigndistrict/" TargetMode="External" Id="rId74"/><Relationship Type="http://schemas.openxmlformats.org/officeDocument/2006/relationships/hyperlink" Target="https://baysidemarketplace.com/" TargetMode="External" Id="rId75"/><Relationship Type="http://schemas.openxmlformats.org/officeDocument/2006/relationships/hyperlink" Target="https://www.google.com/search?q=Bayside+Marketplace+Miami+reviews" TargetMode="External" Id="rId76"/><Relationship Type="http://schemas.openxmlformats.org/officeDocument/2006/relationships/hyperlink" Target="https://www.instagram.com/baysidemarketplace/" TargetMode="External" Id="rId77"/><Relationship Type="http://schemas.openxmlformats.org/officeDocument/2006/relationships/hyperlink" Target="https://www.gobrightline.com/" TargetMode="External" Id="rId78"/><Relationship Type="http://schemas.openxmlformats.org/officeDocument/2006/relationships/hyperlink" Target="https://www.google.com/maps/search/?api=1&amp;query=Citizens+MiamiCentral+600+NW+1st+Ave+Miami+FL" TargetMode="External" Id="rId79"/><Relationship Type="http://schemas.openxmlformats.org/officeDocument/2006/relationships/hyperlink" Target="https://www.instagram.com/citizens_miamicentral/" TargetMode="External" Id="rId80"/><Relationship Type="http://schemas.openxmlformats.org/officeDocument/2006/relationships/hyperlink" Target="https://www.11miami.com/" TargetMode="External" Id="rId81"/><Relationship Type="http://schemas.openxmlformats.org/officeDocument/2006/relationships/hyperlink" Target="https://www.yelp.com/biz/e11even-miami-4" TargetMode="External" Id="rId82"/><Relationship Type="http://schemas.openxmlformats.org/officeDocument/2006/relationships/hyperlink" Target="https://www.instagram.com/11miami/" TargetMode="External" Id="rId83"/><Relationship Type="http://schemas.openxmlformats.org/officeDocument/2006/relationships/hyperlink" Target="https://www.miamidade.gov/transportation-publicworks/metrorail-stations.asp" TargetMode="External" Id="rId84"/><Relationship Type="http://schemas.openxmlformats.org/officeDocument/2006/relationships/hyperlink" Target="https://www.google.com/maps/search/?api=1&amp;query=Government+Center+Station+101+NW+1st+St+Miami+FL" TargetMode="External" Id="rId85"/><Relationship Type="http://schemas.openxmlformats.org/officeDocument/2006/relationships/hyperlink" Target="https://www.instagram.com/miamidadetransit/" TargetMode="External" Id="rId86"/><Relationship Type="http://schemas.openxmlformats.org/officeDocument/2006/relationships/hyperlink" Target="https://www.kaseyacenter.com/" TargetMode="External" Id="rId87"/><Relationship Type="http://schemas.openxmlformats.org/officeDocument/2006/relationships/hyperlink" Target="https://www.google.com/maps/search/?api=1&amp;query=Kaseya+Center+601+Biscayne+Blvd+Miami+FL" TargetMode="External" Id="rId88"/><Relationship Type="http://schemas.openxmlformats.org/officeDocument/2006/relationships/hyperlink" Target="https://www.instagram.com/kaseyacenter/" TargetMode="External" Id="rId89"/><Relationship Type="http://schemas.openxmlformats.org/officeDocument/2006/relationships/hyperlink" Target="https://www.lostboydrygoods.com/" TargetMode="External" Id="rId90"/><Relationship Type="http://schemas.openxmlformats.org/officeDocument/2006/relationships/hyperlink" Target="https://www.google.com/search?q=Lost+Boy+Dry+Goods+Miami+157+E+Flagler+St+reviews" TargetMode="External" Id="rId91"/><Relationship Type="http://schemas.openxmlformats.org/officeDocument/2006/relationships/hyperlink" Target="https://www.instagram.com/lostboydrygoods/" TargetMode="External" Id="rId92"/><Relationship Type="http://schemas.openxmlformats.org/officeDocument/2006/relationships/hyperlink" Target="https://overundermiami.com/" TargetMode="External" Id="rId93"/><Relationship Type="http://schemas.openxmlformats.org/officeDocument/2006/relationships/hyperlink" Target="https://www.google.com/search?q=Over+Under+Miami+151+E+Flagler+St+reviews" TargetMode="External" Id="rId94"/><Relationship Type="http://schemas.openxmlformats.org/officeDocument/2006/relationships/hyperlink" Target="https://www.instagram.com/overundermiami/" TargetMode="External" Id="rId95"/><Relationship Type="http://schemas.openxmlformats.org/officeDocument/2006/relationships/hyperlink" Target="https://www.pamm.org/" TargetMode="External" Id="rId96"/><Relationship Type="http://schemas.openxmlformats.org/officeDocument/2006/relationships/hyperlink" Target="https://www.yelp.com/biz/p%C3%A9rez-art-museum-miami-miami-7" TargetMode="External" Id="rId97"/><Relationship Type="http://schemas.openxmlformats.org/officeDocument/2006/relationships/hyperlink" Target="https://www.instagram.com/pamm/" TargetMode="External" Id="rId98"/><Relationship Type="http://schemas.openxmlformats.org/officeDocument/2006/relationships/hyperlink" Target="https://www.miami.gov/Parks-Public-Places/Parks-Directory/Maurice-A.-Ferre-Park" TargetMode="External" Id="rId99"/><Relationship Type="http://schemas.openxmlformats.org/officeDocument/2006/relationships/hyperlink" Target="https://www.google.com/maps/search/?api=1&amp;query=Maurice+A.+Ferre+Park+1075+Biscayne+Blvd+Miami+FL" TargetMode="External" Id="rId100"/><Relationship Type="http://schemas.openxmlformats.org/officeDocument/2006/relationships/hyperlink" Target="https://www.instagram.com/miamiparks/" TargetMode="External" Id="rId101"/><Relationship Type="http://schemas.openxmlformats.org/officeDocument/2006/relationships/hyperlink" Target="https://www.thecornermiami.com/" TargetMode="External" Id="rId102"/><Relationship Type="http://schemas.openxmlformats.org/officeDocument/2006/relationships/hyperlink" Target="https://www.google.com/maps/search/?api=1&amp;query=The+Corner+1035+N+Miami+Ave+Miami+FL" TargetMode="External" Id="rId103"/><Relationship Type="http://schemas.openxmlformats.org/officeDocument/2006/relationships/hyperlink" Target="https://www.instagram.com/thecornermiami/" TargetMode="External" Id="rId104"/><Relationship Type="http://schemas.openxmlformats.org/officeDocument/2006/relationships/hyperlink" Target="https://vicecitybean.com/" TargetMode="External" Id="rId105"/><Relationship Type="http://schemas.openxmlformats.org/officeDocument/2006/relationships/hyperlink" Target="https://www.google.com/search?q=Vice+City+Bean+1657+N+Miami+Ave+reviews" TargetMode="External" Id="rId106"/><Relationship Type="http://schemas.openxmlformats.org/officeDocument/2006/relationships/hyperlink" Target="https://www.instagram.com/vicecitybean/" TargetMode="External" Id="rId107"/><Relationship Type="http://schemas.openxmlformats.org/officeDocument/2006/relationships/hyperlink" Target="https://naomismiami.com/" TargetMode="External" Id="rId108"/><Relationship Type="http://schemas.openxmlformats.org/officeDocument/2006/relationships/hyperlink" Target="https://www.google.com/search?q=Naomi%27s+Garden+650+NW+71st+St+Miami+reviews" TargetMode="External" Id="rId109"/><Relationship Type="http://schemas.openxmlformats.org/officeDocument/2006/relationships/hyperlink" Target="https://www.instagram.com/naomismiami/" TargetMode="External" Id="rId110"/><Relationship Type="http://schemas.openxmlformats.org/officeDocument/2006/relationships/hyperlink" Target="https://www.sweatrecordsmiami.com/" TargetMode="External" Id="rId111"/><Relationship Type="http://schemas.openxmlformats.org/officeDocument/2006/relationships/hyperlink" Target="https://www.google.com/search?q=Sweat+Records+5505+NE+2nd+Ave+Miami+reviews" TargetMode="External" Id="rId112"/><Relationship Type="http://schemas.openxmlformats.org/officeDocument/2006/relationships/hyperlink" Target="https://www.instagram.com/sweatrecords/" TargetMode="External" Id="rId113"/><Relationship Type="http://schemas.openxmlformats.org/officeDocument/2006/relationships/hyperlink" Target="https://ballandchainmiami.com/" TargetMode="External" Id="rId114"/><Relationship Type="http://schemas.openxmlformats.org/officeDocument/2006/relationships/hyperlink" Target="https://www.google.com/search?q=Ball+and+Chain+Miami+reviews" TargetMode="External" Id="rId115"/><Relationship Type="http://schemas.openxmlformats.org/officeDocument/2006/relationships/hyperlink" Target="https://www.instagram.com/ballandchainmia/" TargetMode="External" Id="rId116"/><Relationship Type="http://schemas.openxmlformats.org/officeDocument/2006/relationships/hyperlink" Target="https://www.imperialmoto.com/" TargetMode="External" Id="rId117"/><Relationship Type="http://schemas.openxmlformats.org/officeDocument/2006/relationships/hyperlink" Target="https://www.google.com/search?q=Imperial+Moto+Cafe+7299+NW+2nd+Ave+Miami+reviews" TargetMode="External" Id="rId118"/><Relationship Type="http://schemas.openxmlformats.org/officeDocument/2006/relationships/hyperlink" Target="https://www.instagram.com/imperialmoto/" TargetMode="External" Id="rId119"/><Relationship Type="http://schemas.openxmlformats.org/officeDocument/2006/relationships/hyperlink" Target="https://www.plantthefuture.com/" TargetMode="External" Id="rId120"/><Relationship Type="http://schemas.openxmlformats.org/officeDocument/2006/relationships/hyperlink" Target="https://www.google.com/search?q=Plant+the+Future+8484+NE+2nd+Ave+Miami+reviews" TargetMode="External" Id="rId121"/><Relationship Type="http://schemas.openxmlformats.org/officeDocument/2006/relationships/hyperlink" Target="https://www.instagram.com/plantthefuture/" TargetMode="External" Id="rId122"/><Relationship Type="http://schemas.openxmlformats.org/officeDocument/2006/relationships/hyperlink" Target="http://www.lagniappehouse.com/" TargetMode="External" Id="rId123"/><Relationship Type="http://schemas.openxmlformats.org/officeDocument/2006/relationships/hyperlink" Target="https://www.yelp.com/biz/lagniappe-miami-3" TargetMode="External" Id="rId124"/><Relationship Type="http://schemas.openxmlformats.org/officeDocument/2006/relationships/hyperlink" Target="https://www.instagram.com/lagniappehouse/" TargetMode="External" Id="rId125"/><Relationship Type="http://schemas.openxmlformats.org/officeDocument/2006/relationships/hyperlink" Target="https://miamiworldcenter.com/" TargetMode="External" Id="rId126"/><Relationship Type="http://schemas.openxmlformats.org/officeDocument/2006/relationships/hyperlink" Target="https://www.google.com/search?q=Miami+Worldcenter+reviews" TargetMode="External" Id="rId127"/><Relationship Type="http://schemas.openxmlformats.org/officeDocument/2006/relationships/hyperlink" Target="https://www.instagram.com/miamiworldcenter/" TargetMode="External" Id="rId128"/><Relationship Type="http://schemas.openxmlformats.org/officeDocument/2006/relationships/hyperlink" Target="https://www.brewingbuddha.com/" TargetMode="External" Id="rId129"/><Relationship Type="http://schemas.openxmlformats.org/officeDocument/2006/relationships/hyperlink" Target="https://www.google.com/search?q=Brewing+Buddha+Cafe+8219+SW+124th+St+Pinecrest+reviews" TargetMode="External" Id="rId130"/><Relationship Type="http://schemas.openxmlformats.org/officeDocument/2006/relationships/hyperlink" Target="https://www.instagram.com/brewingbuddha/" TargetMode="External" Id="rId131"/><Relationship Type="http://schemas.openxmlformats.org/officeDocument/2006/relationships/hyperlink" Target="https://www.bodegataqueria.com/location/southbeach/" TargetMode="External" Id="rId132"/><Relationship Type="http://schemas.openxmlformats.org/officeDocument/2006/relationships/hyperlink" Target="https://www.google.com/search?q=Bodega+Taqueria+y+Tequila+South+Beach+reviews" TargetMode="External" Id="rId133"/><Relationship Type="http://schemas.openxmlformats.org/officeDocument/2006/relationships/hyperlink" Target="https://www.instagram.com/bodegataqueria/" TargetMode="External" Id="rId134"/><Relationship Type="http://schemas.openxmlformats.org/officeDocument/2006/relationships/hyperlink" Target="https://www.brokenshaker.com/location/miami-hours-and-location/" TargetMode="External" Id="rId135"/><Relationship Type="http://schemas.openxmlformats.org/officeDocument/2006/relationships/hyperlink" Target="https://www.google.com/search?q=Broken+Shaker+2727+Indian+Creek+Dr+Miami+Beach+reviews" TargetMode="External" Id="rId136"/><Relationship Type="http://schemas.openxmlformats.org/officeDocument/2006/relationships/hyperlink" Target="https://www.instagram.com/brokenshaker/" TargetMode="External" Id="rId137"/><Relationship Type="http://schemas.openxmlformats.org/officeDocument/2006/relationships/hyperlink" Target="https://www.experiencemiamibeach.com/local-attractions/espanola-way" TargetMode="External" Id="rId138"/><Relationship Type="http://schemas.openxmlformats.org/officeDocument/2006/relationships/hyperlink" Target="https://www.google.com/maps/search/?api=1&amp;query=Espanola+Way+Miami+Beach+FL" TargetMode="External" Id="rId139"/><Relationship Type="http://schemas.openxmlformats.org/officeDocument/2006/relationships/hyperlink" Target="https://www.instagram.com/espanolaway/" TargetMode="External" Id="rId140"/><Relationship Type="http://schemas.openxmlformats.org/officeDocument/2006/relationships/hyperlink" Target="https://www.miamibeachfl.gov/city-hall/parks-and-recreation/parks-facilities-directory/lummus-park/" TargetMode="External" Id="rId141"/><Relationship Type="http://schemas.openxmlformats.org/officeDocument/2006/relationships/hyperlink" Target="https://www.google.com/search?q=Lummus+Park+Miami+Beach+reviews" TargetMode="External" Id="rId142"/><Relationship Type="http://schemas.openxmlformats.org/officeDocument/2006/relationships/hyperlink" Target="https://www.instagram.com/cityofmiamibeach/" TargetMode="External" Id="rId143"/><Relationship Type="http://schemas.openxmlformats.org/officeDocument/2006/relationships/hyperlink" Target="https://www.macsclubdeuce.com/" TargetMode="External" Id="rId144"/><Relationship Type="http://schemas.openxmlformats.org/officeDocument/2006/relationships/hyperlink" Target="https://www.google.com/search?q=Mac%27s+Club+Deuce+222+14th+St+Miami+Beach+reviews" TargetMode="External" Id="rId145"/><Relationship Type="http://schemas.openxmlformats.org/officeDocument/2006/relationships/hyperlink" Target="https://www.instagram.com/macsclubdeuce/" TargetMode="External" Id="rId146"/><Relationship Type="http://schemas.openxmlformats.org/officeDocument/2006/relationships/hyperlink" Target="https://www.rosettabakery.com/" TargetMode="External" Id="rId147"/><Relationship Type="http://schemas.openxmlformats.org/officeDocument/2006/relationships/hyperlink" Target="https://www.google.com/search?q=Rosetta+Bakery+1666+Collins+Ave+Miami+Beach+reviews" TargetMode="External" Id="rId148"/><Relationship Type="http://schemas.openxmlformats.org/officeDocument/2006/relationships/hyperlink" Target="https://www.instagram.com/rosettabakery/" TargetMode="External" Id="rId149"/><Relationship Type="http://schemas.openxmlformats.org/officeDocument/2006/relationships/hyperlink" Target="https://thebass.org/" TargetMode="External" Id="rId150"/><Relationship Type="http://schemas.openxmlformats.org/officeDocument/2006/relationships/hyperlink" Target="https://www.google.com/search?q=The+Bass+Museum+Miami+Beach+reviews" TargetMode="External" Id="rId151"/><Relationship Type="http://schemas.openxmlformats.org/officeDocument/2006/relationships/hyperlink" Target="https://www.instagram.com/thebassmoa/" TargetMode="External" Id="rId152"/><Relationship Type="http://schemas.openxmlformats.org/officeDocument/2006/relationships/hyperlink" Target="https://thetemplehouse.com/" TargetMode="External" Id="rId153"/><Relationship Type="http://schemas.openxmlformats.org/officeDocument/2006/relationships/hyperlink" Target="https://www.yelp.com/biz/the-temple-house-miami-beach" TargetMode="External" Id="rId154"/><Relationship Type="http://schemas.openxmlformats.org/officeDocument/2006/relationships/hyperlink" Target="https://www.instagram.com/thetemplehouse/" TargetMode="External" Id="rId155"/><Relationship Type="http://schemas.openxmlformats.org/officeDocument/2006/relationships/hyperlink" Target="https://www.mangotreemiami.com/" TargetMode="External" Id="rId156"/><Relationship Type="http://schemas.openxmlformats.org/officeDocument/2006/relationships/hyperlink" Target="https://www.google.com/maps/search/?api=1&amp;query=Under+the+Mango+Tree+737+5th+St+Miami+Beach+FL" TargetMode="External" Id="rId157"/><Relationship Type="http://schemas.openxmlformats.org/officeDocument/2006/relationships/hyperlink" Target="https://www.instagram.com/underthemangotreemiami/" TargetMode="External" Id="rId158"/><Relationship Type="http://schemas.openxmlformats.org/officeDocument/2006/relationships/hyperlink" Target="https://joiabeachmiami.com/" TargetMode="External" Id="rId159"/><Relationship Type="http://schemas.openxmlformats.org/officeDocument/2006/relationships/hyperlink" Target="https://www.google.com/search?q=Joia+Beach+Miami+reviews" TargetMode="External" Id="rId160"/><Relationship Type="http://schemas.openxmlformats.org/officeDocument/2006/relationships/hyperlink" Target="https://www.instagram.com/joiabeach/" TargetMode="External" Id="rId161"/><Relationship Type="http://schemas.openxmlformats.org/officeDocument/2006/relationships/hyperlink" Target="https://www.jungleisland.com/" TargetMode="External" Id="rId162"/><Relationship Type="http://schemas.openxmlformats.org/officeDocument/2006/relationships/hyperlink" Target="https://www.google.com/maps/search/?api=1&amp;query=Jungle+Island+1111+Parrot+Jungle+Trail+Miami+FL" TargetMode="External" Id="rId163"/><Relationship Type="http://schemas.openxmlformats.org/officeDocument/2006/relationships/hyperlink" Target="https://www.instagram.com/jungleisland/" TargetMode="External" Id="rId164"/><Relationship Type="http://schemas.openxmlformats.org/officeDocument/2006/relationships/hyperlink" Target="https://1800lucky.com/" TargetMode="External" Id="rId165"/><Relationship Type="http://schemas.openxmlformats.org/officeDocument/2006/relationships/hyperlink" Target="https://www.google.com/search?q=1-800-Lucky+Wynwood+Miami+reviews" TargetMode="External" Id="rId166"/><Relationship Type="http://schemas.openxmlformats.org/officeDocument/2006/relationships/hyperlink" Target="https://www.instagram.com/1800lucky/" TargetMode="External" Id="rId167"/><Relationship Type="http://schemas.openxmlformats.org/officeDocument/2006/relationships/hyperlink" Target="https://danteshifi.com/" TargetMode="External" Id="rId168"/><Relationship Type="http://schemas.openxmlformats.org/officeDocument/2006/relationships/hyperlink" Target="https://www.yelp.com/biz/dantes-hifi-miami" TargetMode="External" Id="rId169"/><Relationship Type="http://schemas.openxmlformats.org/officeDocument/2006/relationships/hyperlink" Target="https://www.instagram.com/danteshifi/" TargetMode="External" Id="rId170"/><Relationship Type="http://schemas.openxmlformats.org/officeDocument/2006/relationships/hyperlink" Target="https://dasherandcrank.com/" TargetMode="External" Id="rId171"/><Relationship Type="http://schemas.openxmlformats.org/officeDocument/2006/relationships/hyperlink" Target="https://www.google.com/maps/search/?api=1&amp;query=Dasher+%26+Crank+2211+NW+2nd+Ave+Miami+FL" TargetMode="External" Id="rId172"/><Relationship Type="http://schemas.openxmlformats.org/officeDocument/2006/relationships/hyperlink" Target="https://www.instagram.com/dashercrank/" TargetMode="External" Id="rId173"/><Relationship Type="http://schemas.openxmlformats.org/officeDocument/2006/relationships/hyperlink" Target="https://www.miamcafe.com/" TargetMode="External" Id="rId174"/><Relationship Type="http://schemas.openxmlformats.org/officeDocument/2006/relationships/hyperlink" Target="https://www.google.com/maps/search/?api=1&amp;query=Miam+Cafe+2750+NW+3rd+Ave+Miami+FL" TargetMode="External" Id="rId175"/><Relationship Type="http://schemas.openxmlformats.org/officeDocument/2006/relationships/hyperlink" Target="https://www.instagram.com/miam.cafe/" TargetMode="External" Id="rId176"/><Relationship Type="http://schemas.openxmlformats.org/officeDocument/2006/relationships/hyperlink" Target="https://panthercoffee.com/" TargetMode="External" Id="rId177"/><Relationship Type="http://schemas.openxmlformats.org/officeDocument/2006/relationships/hyperlink" Target="https://www.google.com/search?q=Panther+Coffee+Wynwood+2390+NW+2nd+Ave+Miami+reviews" TargetMode="External" Id="rId178"/><Relationship Type="http://schemas.openxmlformats.org/officeDocument/2006/relationships/hyperlink" Target="https://www.instagram.com/panthercoffee/" TargetMode="External" Id="rId179"/><Relationship Type="http://schemas.openxmlformats.org/officeDocument/2006/relationships/hyperlink" Target="https://www.saltydonut.com/locations/wynwood" TargetMode="External" Id="rId180"/><Relationship Type="http://schemas.openxmlformats.org/officeDocument/2006/relationships/hyperlink" Target="https://www.google.com/search?q=The+Salty+Donut+Wynwood+50+NW+24th+St+Miami+reviews" TargetMode="External" Id="rId181"/><Relationship Type="http://schemas.openxmlformats.org/officeDocument/2006/relationships/hyperlink" Target="https://www.instagram.com/thesaltydonut/" TargetMode="External" Id="rId182"/><Relationship Type="http://schemas.openxmlformats.org/officeDocument/2006/relationships/hyperlink" Target="https://thewynwoodwalls.com/" TargetMode="External" Id="rId183"/><Relationship Type="http://schemas.openxmlformats.org/officeDocument/2006/relationships/hyperlink" Target="https://www.yelp.com/biz/wynwood-walls-miami" TargetMode="External" Id="rId184"/><Relationship Type="http://schemas.openxmlformats.org/officeDocument/2006/relationships/hyperlink" Target="https://www.instagram.com/wynwoodwallsofficial/" TargetMode="External" Id="rId185"/><Relationship Type="http://schemas.openxmlformats.org/officeDocument/2006/relationships/hyperlink" Target="https://www.supercarrooms.com/" TargetMode="External" Id="rId186"/><Relationship Type="http://schemas.openxmlformats.org/officeDocument/2006/relationships/hyperlink" Target="https://www.google.com/search?q=Miami+Supercar+Rooms+2022+NW+1st+Ct+reviews" TargetMode="External" Id="rId187"/><Relationship Type="http://schemas.openxmlformats.org/officeDocument/2006/relationships/hyperlink" Target="https://www.instagram.com/supercarrooms/" TargetMode="External" Id="rId188"/><Relationship Type="http://schemas.openxmlformats.org/officeDocument/2006/relationships/hyperlink" Target="https://www.miamibeachfl.gov/city-hall/parks-and-recreation/parks-facilities-directory/beachwalk/" TargetMode="External" Id="rId189"/><Relationship Type="http://schemas.openxmlformats.org/officeDocument/2006/relationships/hyperlink" Target="https://www.google.com/search?q=Miami+Beach+Boardwalk+Mid+Beach+reviews" TargetMode="External" Id="rId190"/></Relationships>
</file>

<file path=xl/worksheets/sheet1.xml><?xml version="1.0" encoding="utf-8"?>
<worksheet xmlns="http://schemas.openxmlformats.org/spreadsheetml/2006/main">
  <sheetPr>
    <outlinePr summaryBelow="1" summaryRight="1"/>
    <pageSetUpPr/>
  </sheetPr>
  <dimension ref="A1:AI65"/>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26" customWidth="1" min="4" max="4"/>
    <col width="24" customWidth="1" min="5" max="5"/>
    <col width="12" customWidth="1" min="6" max="6"/>
    <col width="13" customWidth="1" min="7" max="7"/>
    <col width="26" customWidth="1" min="8" max="8"/>
    <col width="28" customWidth="1" min="9" max="9"/>
    <col width="32" customWidth="1" min="10" max="10"/>
    <col width="20" customWidth="1" min="11" max="11"/>
    <col width="14" customWidth="1" min="12" max="12"/>
    <col width="11" customWidth="1" min="13" max="13"/>
    <col width="11" customWidth="1" min="14" max="14"/>
    <col width="14" customWidth="1" min="15" max="15"/>
    <col width="16" customWidth="1" min="16" max="16"/>
    <col width="20" customWidth="1" min="17" max="17"/>
    <col width="28" customWidth="1" min="18" max="18"/>
    <col width="12" customWidth="1" min="19" max="19"/>
    <col width="11" customWidth="1" min="20" max="20"/>
    <col width="8" customWidth="1" min="21" max="21"/>
    <col width="8" customWidth="1" min="22" max="22"/>
    <col width="12" customWidth="1" min="23" max="23"/>
    <col width="45" customWidth="1" min="24" max="24"/>
    <col width="14" customWidth="1" min="25" max="25"/>
    <col width="15" customWidth="1" min="26" max="26"/>
    <col width="13" customWidth="1" min="27" max="27"/>
    <col width="22" customWidth="1" min="28" max="28"/>
    <col width="22" customWidth="1" min="29" max="29"/>
    <col width="20" customWidth="1" min="30" max="30"/>
    <col width="13" customWidth="1" min="31" max="31"/>
    <col width="15" customWidth="1" min="32" max="32"/>
    <col width="16" customWidth="1" min="33" max="33"/>
    <col width="15" customWidth="1" min="34" max="34"/>
    <col width="50" customWidth="1" min="35" max="35"/>
  </cols>
  <sheetData>
    <row r="1">
      <c r="A1" s="1" t="inlineStr">
        <is>
          <t>MASTER DASHBOARD - one row per venue/quest combination. Filter any column below.</t>
        </is>
      </c>
    </row>
    <row r="3">
      <c r="A3" s="2" t="inlineStr">
        <is>
          <t>Quest ID</t>
        </is>
      </c>
      <c r="B3" s="2" t="inlineStr">
        <is>
          <t>Venue ID</t>
        </is>
      </c>
      <c r="C3" s="2" t="inlineStr">
        <is>
          <t>Partner ID</t>
        </is>
      </c>
      <c r="D3" s="2" t="inlineStr">
        <is>
          <t>Slug</t>
        </is>
      </c>
      <c r="E3" s="3" t="inlineStr">
        <is>
          <t>Partner Name</t>
        </is>
      </c>
      <c r="F3" s="3" t="inlineStr">
        <is>
          <t>Partner Type</t>
        </is>
      </c>
      <c r="G3" s="3" t="inlineStr">
        <is>
          <t>Partner Status</t>
        </is>
      </c>
      <c r="H3" s="3" t="inlineStr">
        <is>
          <t>Contact Email</t>
        </is>
      </c>
      <c r="I3" s="4" t="inlineStr">
        <is>
          <t>Venue Name</t>
        </is>
      </c>
      <c r="J3" s="4" t="inlineStr">
        <is>
          <t>Address</t>
        </is>
      </c>
      <c r="K3" s="4" t="inlineStr">
        <is>
          <t>Neighborhood</t>
        </is>
      </c>
      <c r="L3" s="4" t="inlineStr">
        <is>
          <t>City</t>
        </is>
      </c>
      <c r="M3" s="4" t="inlineStr">
        <is>
          <t>Latitude</t>
        </is>
      </c>
      <c r="N3" s="4" t="inlineStr">
        <is>
          <t>Longitude</t>
        </is>
      </c>
      <c r="O3" s="5" t="inlineStr">
        <is>
          <t>Coordinates</t>
        </is>
      </c>
      <c r="P3" s="4" t="inlineStr">
        <is>
          <t>Hours</t>
        </is>
      </c>
      <c r="Q3" s="4" t="inlineStr">
        <is>
          <t>Hours Note</t>
        </is>
      </c>
      <c r="R3" s="4" t="inlineStr">
        <is>
          <t>Quest Title</t>
        </is>
      </c>
      <c r="S3" s="4" t="inlineStr">
        <is>
          <t>Category</t>
        </is>
      </c>
      <c r="T3" s="4" t="inlineStr">
        <is>
          <t>Difficulty</t>
        </is>
      </c>
      <c r="U3" s="4" t="inlineStr">
        <is>
          <t>XP</t>
        </is>
      </c>
      <c r="V3" s="4" t="inlineStr">
        <is>
          <t>Points</t>
        </is>
      </c>
      <c r="W3" s="4" t="inlineStr">
        <is>
          <t>Est. Time</t>
        </is>
      </c>
      <c r="X3" s="4" t="inlineStr">
        <is>
          <t>Quest Objective</t>
        </is>
      </c>
      <c r="Y3" s="4" t="inlineStr">
        <is>
          <t>Website</t>
        </is>
      </c>
      <c r="Z3" s="4" t="inlineStr">
        <is>
          <t>Google Reviews</t>
        </is>
      </c>
      <c r="AA3" s="4" t="inlineStr">
        <is>
          <t>Instagram</t>
        </is>
      </c>
      <c r="AB3" s="5" t="inlineStr">
        <is>
          <t>Hero Image Status</t>
        </is>
      </c>
      <c r="AC3" s="5" t="inlineStr">
        <is>
          <t>Logo Status</t>
        </is>
      </c>
      <c r="AD3" s="5" t="inlineStr">
        <is>
          <t>Asset Sourcing Status</t>
        </is>
      </c>
      <c r="AE3" s="4" t="inlineStr">
        <is>
          <t>Quest Status</t>
        </is>
      </c>
      <c r="AF3" s="3" t="inlineStr">
        <is>
          <t>CRM Verification</t>
        </is>
      </c>
      <c r="AG3" s="3" t="inlineStr">
        <is>
          <t>CRM Business Status</t>
        </is>
      </c>
      <c r="AH3" s="3" t="inlineStr">
        <is>
          <t>CRM Last Verified</t>
        </is>
      </c>
      <c r="AI3" s="3" t="inlineStr">
        <is>
          <t>CRM Notes</t>
        </is>
      </c>
    </row>
    <row r="4" ht="49" customHeight="1">
      <c r="A4" s="6" t="inlineStr">
        <is>
          <t>1bc37699-6441-5d08-8919-5e8862c51266</t>
        </is>
      </c>
      <c r="B4" s="6" t="inlineStr">
        <is>
          <t>6b7bfbce-d54d-5bae-a404-a3556226af26</t>
        </is>
      </c>
      <c r="C4" s="6" t="inlineStr">
        <is>
          <t>919575e4-6804-5009-88a5-7deb8ee68e11</t>
        </is>
      </c>
      <c r="D4" s="6" t="inlineStr">
        <is>
          <t>rubell-museum-allapattah</t>
        </is>
      </c>
      <c r="E4" s="6" t="inlineStr">
        <is>
          <t>Rubell Museum</t>
        </is>
      </c>
      <c r="F4" s="6" t="inlineStr">
        <is>
          <t>venue</t>
        </is>
      </c>
      <c r="G4" s="7" t="inlineStr">
        <is>
          <t>active</t>
        </is>
      </c>
      <c r="H4" s="6" t="inlineStr">
        <is>
          <t>info@rubellmuseum.org</t>
        </is>
      </c>
      <c r="I4" s="6" t="inlineStr">
        <is>
          <t>Rubell Museum</t>
        </is>
      </c>
      <c r="J4" s="6" t="inlineStr">
        <is>
          <t>1100 NW 23rd St, Miami, FL 33127</t>
        </is>
      </c>
      <c r="K4" s="6" t="inlineStr">
        <is>
          <t>Allapattah</t>
        </is>
      </c>
      <c r="L4" s="6" t="inlineStr">
        <is>
          <t>Miami</t>
        </is>
      </c>
      <c r="M4" s="8" t="n">
        <v>25.7987088</v>
      </c>
      <c r="N4" s="8" t="n">
        <v>-80.214203</v>
      </c>
      <c r="O4" s="9" t="inlineStr">
        <is>
          <t>View on Map</t>
        </is>
      </c>
      <c r="P4" s="6" t="n"/>
      <c r="Q4" s="6" t="n"/>
      <c r="R4" s="6" t="inlineStr">
        <is>
          <t>The Collectors' Warehouse</t>
        </is>
      </c>
      <c r="S4" s="6" t="inlineStr">
        <is>
          <t>art</t>
        </is>
      </c>
      <c r="T4" s="6" t="inlineStr">
        <is>
          <t>medium</t>
        </is>
      </c>
      <c r="U4" s="10" t="n">
        <v>150</v>
      </c>
      <c r="V4" s="10" t="n">
        <v>75</v>
      </c>
      <c r="W4" s="6" t="inlineStr">
        <is>
          <t>15–20 min</t>
        </is>
      </c>
      <c r="X4" s="11" t="inlineStr">
        <is>
          <t>Explore the Rubell and find the artwork you'd smuggle home if no one were watching. Photograph it legally instead.</t>
        </is>
      </c>
      <c r="Y4" s="9" t="inlineStr">
        <is>
          <t>Website</t>
        </is>
      </c>
      <c r="Z4" s="9" t="inlineStr">
        <is>
          <t>Google Reviews</t>
        </is>
      </c>
      <c r="AA4" s="9" t="inlineStr">
        <is>
          <t>Instagram</t>
        </is>
      </c>
      <c r="AB4" s="12" t="inlineStr">
        <is>
          <t>Needs Sourcing</t>
        </is>
      </c>
      <c r="AC4" s="12" t="inlineStr">
        <is>
          <t>Needs Sourcing</t>
        </is>
      </c>
      <c r="AD4" s="12" t="inlineStr">
        <is>
          <t>Needs Sourcing</t>
        </is>
      </c>
      <c r="AE4" s="7" t="inlineStr">
        <is>
          <t>active</t>
        </is>
      </c>
      <c r="AF4" s="7" t="inlineStr">
        <is>
          <t>verified</t>
        </is>
      </c>
      <c r="AG4" s="7" t="inlineStr">
        <is>
          <t>active</t>
        </is>
      </c>
      <c r="AH4" s="6" t="inlineStr">
        <is>
          <t>2026-07-07</t>
        </is>
      </c>
      <c r="AI4" s="11" t="inlineStr">
        <is>
          <t>Decision maker: Curator; Contact: info@rubellmuseum.org. Neighborhood normalized to 'Allapattah' (input said 'Allapattah / Edge'). Coordinates from Apple Maps listing snippet matching official address.</t>
        </is>
      </c>
    </row>
    <row r="5" ht="49" customHeight="1">
      <c r="A5" s="13" t="inlineStr">
        <is>
          <t>7d118a13-e2cd-5075-aa27-6bfe755b95c6</t>
        </is>
      </c>
      <c r="B5" s="13" t="inlineStr">
        <is>
          <t>d3be2ff4-dd15-59a7-bae7-2d5e66849ce7</t>
        </is>
      </c>
      <c r="C5" s="13" t="inlineStr">
        <is>
          <t>4419365c-e6be-59ab-b81a-8c46e679f909</t>
        </is>
      </c>
      <c r="D5" s="13" t="inlineStr">
        <is>
          <t>superblue-miami</t>
        </is>
      </c>
      <c r="E5" s="13" t="inlineStr">
        <is>
          <t>Superblue Miami</t>
        </is>
      </c>
      <c r="F5" s="13" t="inlineStr">
        <is>
          <t>venue</t>
        </is>
      </c>
      <c r="G5" s="7" t="inlineStr">
        <is>
          <t>active</t>
        </is>
      </c>
      <c r="H5" s="13" t="inlineStr">
        <is>
          <t>info@superblue.com</t>
        </is>
      </c>
      <c r="I5" s="13" t="inlineStr">
        <is>
          <t>Superblue Miami</t>
        </is>
      </c>
      <c r="J5" s="13" t="inlineStr">
        <is>
          <t>1101 NW 23rd St, Miami, FL 33127</t>
        </is>
      </c>
      <c r="K5" s="13" t="inlineStr">
        <is>
          <t>Allapattah</t>
        </is>
      </c>
      <c r="L5" s="13" t="inlineStr">
        <is>
          <t>Miami</t>
        </is>
      </c>
      <c r="M5" s="14" t="n">
        <v>25.7991925</v>
      </c>
      <c r="N5" s="14" t="n">
        <v>-80.2138844</v>
      </c>
      <c r="O5" s="15" t="inlineStr">
        <is>
          <t>View on Map</t>
        </is>
      </c>
      <c r="P5" s="13" t="n"/>
      <c r="Q5" s="13" t="n"/>
      <c r="R5" s="13" t="inlineStr">
        <is>
          <t>Step Inside the Art</t>
        </is>
      </c>
      <c r="S5" s="13" t="inlineStr">
        <is>
          <t>art</t>
        </is>
      </c>
      <c r="T5" s="13" t="inlineStr">
        <is>
          <t>medium</t>
        </is>
      </c>
      <c r="U5" s="16" t="n">
        <v>150</v>
      </c>
      <c r="V5" s="16" t="n">
        <v>75</v>
      </c>
      <c r="W5" s="13" t="inlineStr">
        <is>
          <t>15–20 min</t>
        </is>
      </c>
      <c r="X5" s="17" t="inlineStr">
        <is>
          <t>Lose yourself in an immersive room and photograph the moment reality bends.</t>
        </is>
      </c>
      <c r="Y5" s="15" t="inlineStr">
        <is>
          <t>Website</t>
        </is>
      </c>
      <c r="Z5" s="15" t="inlineStr">
        <is>
          <t>Google Reviews</t>
        </is>
      </c>
      <c r="AA5" s="15" t="inlineStr">
        <is>
          <t>Instagram</t>
        </is>
      </c>
      <c r="AB5" s="12" t="inlineStr">
        <is>
          <t>Needs Sourcing</t>
        </is>
      </c>
      <c r="AC5" s="12" t="inlineStr">
        <is>
          <t>Needs Sourcing</t>
        </is>
      </c>
      <c r="AD5" s="12" t="inlineStr">
        <is>
          <t>Needs Sourcing</t>
        </is>
      </c>
      <c r="AE5" s="7" t="inlineStr">
        <is>
          <t>active</t>
        </is>
      </c>
      <c r="AF5" s="7" t="inlineStr">
        <is>
          <t>verified</t>
        </is>
      </c>
      <c r="AG5" s="7" t="inlineStr">
        <is>
          <t>active</t>
        </is>
      </c>
      <c r="AH5" s="13" t="inlineStr">
        <is>
          <t>2026-07-07</t>
        </is>
      </c>
      <c r="AI5" s="17" t="inlineStr">
        <is>
          <t>Decision maker: Operations Director; Contact: info@superblue.com. Immersive experiential art space located across from the Rubell Museum in Allapattah; input neighborhood 'Allapattah / Edge' normalized to Allapattah.</t>
        </is>
      </c>
    </row>
    <row r="6" ht="64" customHeight="1">
      <c r="A6" s="6" t="inlineStr">
        <is>
          <t>5a677ae0-ca95-55d4-9795-13c09141303a</t>
        </is>
      </c>
      <c r="B6" s="6" t="inlineStr">
        <is>
          <t>6eb2e4f0-ff69-5f26-8191-1bb8382cef34</t>
        </is>
      </c>
      <c r="C6" s="6" t="inlineStr">
        <is>
          <t>f34c4834-f4f2-558a-b365-02eb6494393c</t>
        </is>
      </c>
      <c r="D6" s="6" t="inlineStr">
        <is>
          <t>standard-spa-miami-beach</t>
        </is>
      </c>
      <c r="E6" s="6" t="inlineStr">
        <is>
          <t>The Standard Spa, Miami Beach</t>
        </is>
      </c>
      <c r="F6" s="6" t="inlineStr">
        <is>
          <t>venue</t>
        </is>
      </c>
      <c r="G6" s="7" t="inlineStr">
        <is>
          <t>active</t>
        </is>
      </c>
      <c r="H6" s="6" t="inlineStr">
        <is>
          <t>spa.miami@standardhotels.com</t>
        </is>
      </c>
      <c r="I6" s="6" t="inlineStr">
        <is>
          <t>The Standard Spa, Miami Beach</t>
        </is>
      </c>
      <c r="J6" s="6" t="inlineStr">
        <is>
          <t>40 Island Ave, Miami Beach, FL 33139</t>
        </is>
      </c>
      <c r="K6" s="6" t="inlineStr">
        <is>
          <t>Belle Isle / South Beach</t>
        </is>
      </c>
      <c r="L6" s="6" t="inlineStr">
        <is>
          <t>Miami Beach</t>
        </is>
      </c>
      <c r="M6" s="8" t="n">
        <v>25.79175</v>
      </c>
      <c r="N6" s="8" t="n">
        <v>-80.149086</v>
      </c>
      <c r="O6" s="9" t="inlineStr">
        <is>
          <t>View on Map</t>
        </is>
      </c>
      <c r="P6" s="6" t="n"/>
      <c r="Q6" s="6" t="n"/>
      <c r="R6" s="6" t="inlineStr">
        <is>
          <t>Island of Calm</t>
        </is>
      </c>
      <c r="S6" s="6" t="inlineStr">
        <is>
          <t>fitness</t>
        </is>
      </c>
      <c r="T6" s="6" t="inlineStr">
        <is>
          <t>medium</t>
        </is>
      </c>
      <c r="U6" s="10" t="n">
        <v>150</v>
      </c>
      <c r="V6" s="10" t="n">
        <v>75</v>
      </c>
      <c r="W6" s="6" t="inlineStr">
        <is>
          <t>10–15 min</t>
        </is>
      </c>
      <c r="X6" s="11" t="inlineStr">
        <is>
          <t>Make your way onto Belle Isle and find the entrance to The Standard. Photograph your arrival.</t>
        </is>
      </c>
      <c r="Y6" s="9" t="inlineStr">
        <is>
          <t>Website</t>
        </is>
      </c>
      <c r="Z6" s="9" t="inlineStr">
        <is>
          <t>Google Reviews</t>
        </is>
      </c>
      <c r="AA6" s="9" t="inlineStr">
        <is>
          <t>Instagram</t>
        </is>
      </c>
      <c r="AB6" s="12" t="inlineStr">
        <is>
          <t>Needs Sourcing</t>
        </is>
      </c>
      <c r="AC6" s="12" t="inlineStr">
        <is>
          <t>Needs Sourcing</t>
        </is>
      </c>
      <c r="AD6" s="12" t="inlineStr">
        <is>
          <t>Needs Sourcing</t>
        </is>
      </c>
      <c r="AE6" s="7" t="inlineStr">
        <is>
          <t>active</t>
        </is>
      </c>
      <c r="AF6" s="7" t="inlineStr">
        <is>
          <t>verified</t>
        </is>
      </c>
      <c r="AG6" s="7" t="inlineStr">
        <is>
          <t>active</t>
        </is>
      </c>
      <c r="AH6" s="6" t="inlineStr">
        <is>
          <t>2026-07-07</t>
        </is>
      </c>
      <c r="AI6" s="11" t="inlineStr">
        <is>
          <t>Decision maker: Spa Director; Contact: spa.miami@standardhotels.com. Correction: input Instagram handle '@thestandard' is the global brand account (188K followers); the property-specific account is @thestandardmiami (23K followers) - used the latter as more accurate. Adults-only hotel/spa on Belle Isle.</t>
        </is>
      </c>
    </row>
    <row r="7" ht="109" customHeight="1">
      <c r="A7" s="13" t="inlineStr">
        <is>
          <t>5cb22f72-5dd3-526f-9ef4-63e9926b1f0f</t>
        </is>
      </c>
      <c r="B7" s="13" t="inlineStr">
        <is>
          <t>e3b25e07-5c7f-5eb7-89ee-4484b4896fb5</t>
        </is>
      </c>
      <c r="C7" s="13" t="inlineStr">
        <is>
          <t>cc5bcf3c-8768-582d-9857-4b8bd0521b32</t>
        </is>
      </c>
      <c r="D7" s="13" t="inlineStr">
        <is>
          <t>brickell-city-centre</t>
        </is>
      </c>
      <c r="E7" s="13" t="inlineStr">
        <is>
          <t>Brickell City Centre</t>
        </is>
      </c>
      <c r="F7" s="13" t="inlineStr">
        <is>
          <t>venue</t>
        </is>
      </c>
      <c r="G7" s="7" t="inlineStr">
        <is>
          <t>active</t>
        </is>
      </c>
      <c r="H7" s="13" t="inlineStr">
        <is>
          <t>info@brickellcitycentre.com</t>
        </is>
      </c>
      <c r="I7" s="13" t="inlineStr">
        <is>
          <t>Brickell City Centre</t>
        </is>
      </c>
      <c r="J7" s="13" t="inlineStr">
        <is>
          <t>701 S Miami Ave, Miami, FL 33131</t>
        </is>
      </c>
      <c r="K7" s="13" t="inlineStr">
        <is>
          <t>Brickell</t>
        </is>
      </c>
      <c r="L7" s="13" t="inlineStr">
        <is>
          <t>Miami</t>
        </is>
      </c>
      <c r="M7" s="14" t="n">
        <v>25.7676777</v>
      </c>
      <c r="N7" s="14" t="n">
        <v>-80.1930011</v>
      </c>
      <c r="O7" s="15" t="inlineStr">
        <is>
          <t>View on Map</t>
        </is>
      </c>
      <c r="P7" s="13" t="n"/>
      <c r="Q7" s="13" t="n"/>
      <c r="R7" s="13" t="inlineStr">
        <is>
          <t>The Vertical City</t>
        </is>
      </c>
      <c r="S7" s="13" t="inlineStr">
        <is>
          <t>shopping</t>
        </is>
      </c>
      <c r="T7" s="13" t="inlineStr">
        <is>
          <t>easy</t>
        </is>
      </c>
      <c r="U7" s="16" t="n">
        <v>50</v>
      </c>
      <c r="V7" s="16" t="n">
        <v>25</v>
      </c>
      <c r="W7" s="13" t="inlineStr">
        <is>
          <t>10–15 min</t>
        </is>
      </c>
      <c r="X7" s="17" t="inlineStr">
        <is>
          <t>Explore Brickell City Centre's levels and photograph the view where the architecture steals the show from the shops.</t>
        </is>
      </c>
      <c r="Y7" s="15" t="inlineStr">
        <is>
          <t>Website</t>
        </is>
      </c>
      <c r="Z7" s="15" t="inlineStr">
        <is>
          <t>Google Reviews</t>
        </is>
      </c>
      <c r="AA7" s="15" t="inlineStr">
        <is>
          <t>Instagram</t>
        </is>
      </c>
      <c r="AB7" s="12" t="inlineStr">
        <is>
          <t>Needs Sourcing</t>
        </is>
      </c>
      <c r="AC7" s="12" t="inlineStr">
        <is>
          <t>Needs Sourcing</t>
        </is>
      </c>
      <c r="AD7" s="12" t="inlineStr">
        <is>
          <t>Needs Sourcing</t>
        </is>
      </c>
      <c r="AE7" s="7" t="inlineStr">
        <is>
          <t>active</t>
        </is>
      </c>
      <c r="AF7" s="7" t="inlineStr">
        <is>
          <t>verified</t>
        </is>
      </c>
      <c r="AG7" s="7" t="inlineStr">
        <is>
          <t>active</t>
        </is>
      </c>
      <c r="AH7" s="13" t="inlineStr">
        <is>
          <t>2026-07-07</t>
        </is>
      </c>
      <c r="AI7" s="17" t="inlineStr">
        <is>
          <t>Decision maker: Marketing Director; Contact: info@brickellcitycentre.com. Mall is a Simon Property Group asset (operated with Swire); active and expanding retail (Aritzia, Alo Yoga, Dior Beauty opened 2025-2026), April 2025 was highest footfall month on record. Note: the planned 'One Brickell City Centre' supertall office tower was cancelled/listed for sale in 2025 - this affects a future expansion parcel, not the existing operating mall. No reliable primary-source coordinates found (Wikipedia/official site fetch blocked in this session); address confirmed via multiple listings (Yelp, Simon.com).</t>
        </is>
      </c>
    </row>
    <row r="8" ht="34" customHeight="1">
      <c r="A8" s="6" t="inlineStr">
        <is>
          <t>fb79ddde-85fd-521c-a354-0dd4a144a96f</t>
        </is>
      </c>
      <c r="B8" s="6" t="inlineStr">
        <is>
          <t>42b31588-7629-5b8c-983b-3067c04f657f</t>
        </is>
      </c>
      <c r="C8" s="6" t="inlineStr">
        <is>
          <t>8397b449-800f-5c57-b5b3-c492219c5e57</t>
        </is>
      </c>
      <c r="D8" s="6" t="inlineStr">
        <is>
          <t>komodo-brickell</t>
        </is>
      </c>
      <c r="E8" s="6" t="inlineStr">
        <is>
          <t>Komodo Miami</t>
        </is>
      </c>
      <c r="F8" s="6" t="inlineStr">
        <is>
          <t>venue</t>
        </is>
      </c>
      <c r="G8" s="7" t="inlineStr">
        <is>
          <t>active</t>
        </is>
      </c>
      <c r="H8" s="6" t="inlineStr">
        <is>
          <t>info@groothospitality.com</t>
        </is>
      </c>
      <c r="I8" s="6" t="inlineStr">
        <is>
          <t>Komodo Miami</t>
        </is>
      </c>
      <c r="J8" s="6" t="inlineStr">
        <is>
          <t>801 Brickell Ave, Miami, FL 33131</t>
        </is>
      </c>
      <c r="K8" s="6" t="inlineStr">
        <is>
          <t>Brickell</t>
        </is>
      </c>
      <c r="L8" s="6" t="inlineStr">
        <is>
          <t>Miami</t>
        </is>
      </c>
      <c r="M8" s="8" t="n">
        <v>25.7656196</v>
      </c>
      <c r="N8" s="8" t="n">
        <v>-80.1901639</v>
      </c>
      <c r="O8" s="9" t="inlineStr">
        <is>
          <t>View on Map</t>
        </is>
      </c>
      <c r="P8" s="6" t="n"/>
      <c r="Q8" s="6" t="n"/>
      <c r="R8" s="6" t="inlineStr">
        <is>
          <t>Dragon Hunting in Brickell</t>
        </is>
      </c>
      <c r="S8" s="6" t="inlineStr">
        <is>
          <t>food</t>
        </is>
      </c>
      <c r="T8" s="6" t="inlineStr">
        <is>
          <t>medium</t>
        </is>
      </c>
      <c r="U8" s="10" t="n">
        <v>150</v>
      </c>
      <c r="V8" s="10" t="n">
        <v>75</v>
      </c>
      <c r="W8" s="6" t="inlineStr">
        <is>
          <t>10–15 min</t>
        </is>
      </c>
      <c r="X8" s="11" t="inlineStr">
        <is>
          <t>Track down Komodo on Brickell Ave and photograph the boldest detail of the space you can find.</t>
        </is>
      </c>
      <c r="Y8" s="9" t="inlineStr">
        <is>
          <t>Website</t>
        </is>
      </c>
      <c r="Z8" s="9" t="inlineStr">
        <is>
          <t>Google Reviews</t>
        </is>
      </c>
      <c r="AA8" s="9" t="inlineStr">
        <is>
          <t>Instagram</t>
        </is>
      </c>
      <c r="AB8" s="12" t="inlineStr">
        <is>
          <t>Needs Sourcing</t>
        </is>
      </c>
      <c r="AC8" s="12" t="inlineStr">
        <is>
          <t>Needs Sourcing</t>
        </is>
      </c>
      <c r="AD8" s="12" t="inlineStr">
        <is>
          <t>Needs Sourcing</t>
        </is>
      </c>
      <c r="AE8" s="7" t="inlineStr">
        <is>
          <t>active</t>
        </is>
      </c>
      <c r="AF8" s="7" t="inlineStr">
        <is>
          <t>verified</t>
        </is>
      </c>
      <c r="AG8" s="7" t="inlineStr">
        <is>
          <t>active</t>
        </is>
      </c>
      <c r="AH8" s="6" t="inlineStr">
        <is>
          <t>2026-07-07</t>
        </is>
      </c>
      <c r="AI8" s="11" t="inlineStr">
        <is>
          <t>Decision maker: Groot Hospitality CMO; Contact: info@groothospitality.com. Coordinates sourced from Apple Maps listing snippet (801 Brickell Ave).</t>
        </is>
      </c>
    </row>
    <row r="9" ht="109" customHeight="1">
      <c r="A9" s="13" t="inlineStr">
        <is>
          <t>65f023cb-5822-5cf0-952e-70d0f0be9d0a</t>
        </is>
      </c>
      <c r="B9" s="13" t="inlineStr">
        <is>
          <t>0f6a6b02-c168-55be-b383-246fbb54fc65</t>
        </is>
      </c>
      <c r="C9" s="13" t="inlineStr">
        <is>
          <t>05815fa9-244a-54eb-8b42-8aaacfa1a829</t>
        </is>
      </c>
      <c r="D9" s="13" t="inlineStr">
        <is>
          <t>miami-circle-brickell</t>
        </is>
      </c>
      <c r="E9" s="13" t="inlineStr">
        <is>
          <t>Miami Circle at Brickell Point</t>
        </is>
      </c>
      <c r="F9" s="13" t="inlineStr">
        <is>
          <t>venue</t>
        </is>
      </c>
      <c r="G9" s="7" t="inlineStr">
        <is>
          <t>active</t>
        </is>
      </c>
      <c r="H9" s="13" t="inlineStr">
        <is>
          <t>parks@miamigov.com</t>
        </is>
      </c>
      <c r="I9" s="13" t="inlineStr">
        <is>
          <t>Miami Circle Park</t>
        </is>
      </c>
      <c r="J9" s="13" t="inlineStr">
        <is>
          <t>401 Brickell Ave, Miami, FL 33131</t>
        </is>
      </c>
      <c r="K9" s="13" t="inlineStr">
        <is>
          <t>Brickell</t>
        </is>
      </c>
      <c r="L9" s="13" t="inlineStr">
        <is>
          <t>Miami</t>
        </is>
      </c>
      <c r="M9" s="14" t="n">
        <v>25.769381</v>
      </c>
      <c r="N9" s="14" t="n">
        <v>-80.189919</v>
      </c>
      <c r="O9" s="15" t="inlineStr">
        <is>
          <t>View on Map</t>
        </is>
      </c>
      <c r="P9" s="13" t="n"/>
      <c r="Q9" s="13" t="n"/>
      <c r="R9" s="13" t="inlineStr">
        <is>
          <t>The 2,000-Year-Old Circle</t>
        </is>
      </c>
      <c r="S9" s="13" t="inlineStr">
        <is>
          <t>culture</t>
        </is>
      </c>
      <c r="T9" s="13" t="inlineStr">
        <is>
          <t>easy</t>
        </is>
      </c>
      <c r="U9" s="16" t="n">
        <v>50</v>
      </c>
      <c r="V9" s="16" t="n">
        <v>25</v>
      </c>
      <c r="W9" s="13" t="inlineStr">
        <is>
          <t>10–15 min</t>
        </is>
      </c>
      <c r="X9" s="17" t="inlineStr">
        <is>
          <t>Walk the Riverwalk to Brickell Point and find the Miami Circle. Photograph where the city's oldest story meets its newest skyline.</t>
        </is>
      </c>
      <c r="Y9" s="15" t="inlineStr">
        <is>
          <t>Website</t>
        </is>
      </c>
      <c r="Z9" s="15" t="inlineStr">
        <is>
          <t>Google Reviews</t>
        </is>
      </c>
      <c r="AA9" s="13" t="n"/>
      <c r="AB9" s="12" t="inlineStr">
        <is>
          <t>Needs Sourcing</t>
        </is>
      </c>
      <c r="AC9" s="12" t="inlineStr">
        <is>
          <t>Needs Sourcing</t>
        </is>
      </c>
      <c r="AD9" s="12" t="inlineStr">
        <is>
          <t>Needs Sourcing</t>
        </is>
      </c>
      <c r="AE9" s="7" t="inlineStr">
        <is>
          <t>active</t>
        </is>
      </c>
      <c r="AF9" s="7" t="inlineStr">
        <is>
          <t>verified</t>
        </is>
      </c>
      <c r="AG9" s="7" t="inlineStr">
        <is>
          <t>active</t>
        </is>
      </c>
      <c r="AH9" s="13" t="inlineStr">
        <is>
          <t>2026-07-07</t>
        </is>
      </c>
      <c r="AI9" s="17" t="inlineStr">
        <is>
          <t>Decision maker: Archeology Director. Contact: parks@miamigov.com. Input name/contact strongly matches the Miami Circle at Brickell Point archaeological site -- a Tequesta-era circle of postmolds (1,700-2,700 years old, discovered 1998) at the mouth of the Miami River, now a public waterfront park (managed with HistoryMiami involvement) directly on the Miami Riverwalk. Neighborhood corrected from generic 'Downtown' to 'Brickell' (the site sits at the Brickell/Downtown boundary at the river mouth). Coordinates sourced from search-indexed Wikidata/Google data, not independently re-verified via direct fetch (site blocked).</t>
        </is>
      </c>
    </row>
    <row r="10" ht="64" customHeight="1">
      <c r="A10" s="6" t="inlineStr">
        <is>
          <t>35d5c752-ef36-5b64-a47c-b5f49a66a340</t>
        </is>
      </c>
      <c r="B10" s="6" t="inlineStr">
        <is>
          <t>e18a2c1e-1f8a-5d9d-99ff-0484a375fa60</t>
        </is>
      </c>
      <c r="C10" s="6" t="inlineStr">
        <is>
          <t>0c17f4b2-fe1e-5e95-8790-628c66f31a5a</t>
        </is>
      </c>
      <c r="D10" s="6" t="inlineStr">
        <is>
          <t>pasion-del-cielo-brickell</t>
        </is>
      </c>
      <c r="E10" s="6" t="inlineStr">
        <is>
          <t>Pasión del Cielo Coffee</t>
        </is>
      </c>
      <c r="F10" s="6" t="inlineStr">
        <is>
          <t>venue</t>
        </is>
      </c>
      <c r="G10" s="7" t="inlineStr">
        <is>
          <t>active</t>
        </is>
      </c>
      <c r="H10" s="6" t="inlineStr">
        <is>
          <t>info@pasiondelcielo.com</t>
        </is>
      </c>
      <c r="I10" s="6" t="inlineStr">
        <is>
          <t>Pasión del Cielo Coffee - Brickell</t>
        </is>
      </c>
      <c r="J10" s="6" t="inlineStr">
        <is>
          <t>907 Brickell Ave, Miami, FL 33131</t>
        </is>
      </c>
      <c r="K10" s="6" t="inlineStr">
        <is>
          <t>Brickell</t>
        </is>
      </c>
      <c r="L10" s="6" t="inlineStr">
        <is>
          <t>Miami</t>
        </is>
      </c>
      <c r="M10" s="8" t="n">
        <v>25.7651768</v>
      </c>
      <c r="N10" s="8" t="n">
        <v>-80.1908292</v>
      </c>
      <c r="O10" s="9" t="inlineStr">
        <is>
          <t>View on Map</t>
        </is>
      </c>
      <c r="P10" s="6" t="n"/>
      <c r="Q10" s="6" t="n"/>
      <c r="R10" s="6" t="inlineStr">
        <is>
          <t>Heaven on Brickell</t>
        </is>
      </c>
      <c r="S10" s="6" t="inlineStr">
        <is>
          <t>food</t>
        </is>
      </c>
      <c r="T10" s="6" t="inlineStr">
        <is>
          <t>easy</t>
        </is>
      </c>
      <c r="U10" s="10" t="n">
        <v>50</v>
      </c>
      <c r="V10" s="10" t="n">
        <v>25</v>
      </c>
      <c r="W10" s="6" t="inlineStr">
        <is>
          <t>5–10 min</t>
        </is>
      </c>
      <c r="X10" s="11" t="inlineStr">
        <is>
          <t>Find Pasión del Cielo on Brickell Ave and photograph its name where it appears — then add your own translation.</t>
        </is>
      </c>
      <c r="Y10" s="9" t="inlineStr">
        <is>
          <t>Website</t>
        </is>
      </c>
      <c r="Z10" s="9" t="inlineStr">
        <is>
          <t>Google Reviews</t>
        </is>
      </c>
      <c r="AA10" s="9" t="inlineStr">
        <is>
          <t>Instagram</t>
        </is>
      </c>
      <c r="AB10" s="12" t="inlineStr">
        <is>
          <t>Needs Sourcing</t>
        </is>
      </c>
      <c r="AC10" s="12" t="inlineStr">
        <is>
          <t>Needs Sourcing</t>
        </is>
      </c>
      <c r="AD10" s="12" t="inlineStr">
        <is>
          <t>Needs Sourcing</t>
        </is>
      </c>
      <c r="AE10" s="7" t="inlineStr">
        <is>
          <t>active</t>
        </is>
      </c>
      <c r="AF10" s="7" t="inlineStr">
        <is>
          <t>verified</t>
        </is>
      </c>
      <c r="AG10" s="7" t="inlineStr">
        <is>
          <t>active</t>
        </is>
      </c>
      <c r="AH10" s="6" t="inlineStr">
        <is>
          <t>2026-07-07</t>
        </is>
      </c>
      <c r="AI10" s="11" t="inlineStr">
        <is>
          <t>Decision maker: Area Manager; Contact: info@pasiondelcielo.com. Input Instagram handle @pasiondelcielofl not found exactly; active handle is @pasiondelcielocoffee. Also operates a near-identical site at pasiondelcielocoffee.com and additional locations in Coral Gables (Giralda Ave) and Midtown.</t>
        </is>
      </c>
    </row>
    <row r="11" ht="34" customHeight="1">
      <c r="A11" s="13" t="inlineStr">
        <is>
          <t>125eb697-a516-549b-a97c-14829ae553c7</t>
        </is>
      </c>
      <c r="B11" s="13" t="inlineStr">
        <is>
          <t>c30b0989-aeab-5535-bf9a-00f0f92d28c8</t>
        </is>
      </c>
      <c r="C11" s="13" t="inlineStr">
        <is>
          <t>af6b0db8-0e00-5f33-8e85-870f037269a4</t>
        </is>
      </c>
      <c r="D11" s="13" t="inlineStr">
        <is>
          <t>sexy-fish-brickell</t>
        </is>
      </c>
      <c r="E11" s="13" t="inlineStr">
        <is>
          <t>Sexy Fish Miami</t>
        </is>
      </c>
      <c r="F11" s="13" t="inlineStr">
        <is>
          <t>venue</t>
        </is>
      </c>
      <c r="G11" s="7" t="inlineStr">
        <is>
          <t>active</t>
        </is>
      </c>
      <c r="H11" s="13" t="inlineStr">
        <is>
          <t>info@sexyfishmiami.com</t>
        </is>
      </c>
      <c r="I11" s="13" t="inlineStr">
        <is>
          <t>Sexy Fish Miami</t>
        </is>
      </c>
      <c r="J11" s="13" t="inlineStr">
        <is>
          <t>1001 S Miami Ave, Miami, FL 33130</t>
        </is>
      </c>
      <c r="K11" s="13" t="inlineStr">
        <is>
          <t>Brickell</t>
        </is>
      </c>
      <c r="L11" s="13" t="inlineStr">
        <is>
          <t>Miami</t>
        </is>
      </c>
      <c r="M11" s="14" t="n">
        <v>25.7643527</v>
      </c>
      <c r="N11" s="14" t="n">
        <v>-80.19305129999999</v>
      </c>
      <c r="O11" s="15" t="inlineStr">
        <is>
          <t>View on Map</t>
        </is>
      </c>
      <c r="P11" s="13" t="n"/>
      <c r="Q11" s="13" t="n"/>
      <c r="R11" s="13" t="inlineStr">
        <is>
          <t>Something's Fishy</t>
        </is>
      </c>
      <c r="S11" s="13" t="inlineStr">
        <is>
          <t>food</t>
        </is>
      </c>
      <c r="T11" s="13" t="inlineStr">
        <is>
          <t>medium</t>
        </is>
      </c>
      <c r="U11" s="16" t="n">
        <v>150</v>
      </c>
      <c r="V11" s="16" t="n">
        <v>75</v>
      </c>
      <c r="W11" s="13" t="inlineStr">
        <is>
          <t>10–15 min</t>
        </is>
      </c>
      <c r="X11" s="17" t="inlineStr">
        <is>
          <t>Step into Sexy Fish on S Miami Ave and photograph the most extravagant detail you can find. There are contenders.</t>
        </is>
      </c>
      <c r="Y11" s="15" t="inlineStr">
        <is>
          <t>Website</t>
        </is>
      </c>
      <c r="Z11" s="15" t="inlineStr">
        <is>
          <t>Google Reviews</t>
        </is>
      </c>
      <c r="AA11" s="15" t="inlineStr">
        <is>
          <t>Instagram</t>
        </is>
      </c>
      <c r="AB11" s="12" t="inlineStr">
        <is>
          <t>Needs Sourcing</t>
        </is>
      </c>
      <c r="AC11" s="12" t="inlineStr">
        <is>
          <t>Needs Sourcing</t>
        </is>
      </c>
      <c r="AD11" s="12" t="inlineStr">
        <is>
          <t>Needs Sourcing</t>
        </is>
      </c>
      <c r="AE11" s="7" t="inlineStr">
        <is>
          <t>active</t>
        </is>
      </c>
      <c r="AF11" s="7" t="inlineStr">
        <is>
          <t>verified</t>
        </is>
      </c>
      <c r="AG11" s="7" t="inlineStr">
        <is>
          <t>active</t>
        </is>
      </c>
      <c r="AH11" s="13" t="inlineStr">
        <is>
          <t>2026-07-07</t>
        </is>
      </c>
      <c r="AI11" s="17" t="inlineStr">
        <is>
          <t>Decision maker: Operations Manager; Contact: info@sexyfishmiami.com. Confirmed via official site, Yelp, OpenTable, Resy all consistent on address and open status.</t>
        </is>
      </c>
    </row>
    <row r="12" ht="64" customHeight="1">
      <c r="A12" s="6" t="inlineStr">
        <is>
          <t>a8f2d4f3-8541-55f8-9972-60574a392f48</t>
        </is>
      </c>
      <c r="B12" s="6" t="inlineStr">
        <is>
          <t>0f54cfae-e204-56cc-adbe-ce3ebbb828fc</t>
        </is>
      </c>
      <c r="C12" s="6" t="inlineStr">
        <is>
          <t>7822bca9-8c50-549d-8a93-a8cee544a19d</t>
        </is>
      </c>
      <c r="D12" s="6" t="inlineStr">
        <is>
          <t>sugar-rooftop-east-miami</t>
        </is>
      </c>
      <c r="E12" s="6" t="inlineStr">
        <is>
          <t>Sugar</t>
        </is>
      </c>
      <c r="F12" s="6" t="inlineStr">
        <is>
          <t>venue</t>
        </is>
      </c>
      <c r="G12" s="7" t="inlineStr">
        <is>
          <t>active</t>
        </is>
      </c>
      <c r="H12" s="6" t="inlineStr">
        <is>
          <t>sugar@easthotels.com</t>
        </is>
      </c>
      <c r="I12" s="6" t="inlineStr">
        <is>
          <t>Sugar Rooftop at EAST, Miami</t>
        </is>
      </c>
      <c r="J12" s="6" t="inlineStr">
        <is>
          <t>788 Brickell Plaza, Floor 40, Miami, FL 33131</t>
        </is>
      </c>
      <c r="K12" s="6" t="inlineStr">
        <is>
          <t>Brickell</t>
        </is>
      </c>
      <c r="L12" s="6" t="inlineStr">
        <is>
          <t>Miami</t>
        </is>
      </c>
      <c r="M12" s="8" t="n">
        <v>25.766606</v>
      </c>
      <c r="N12" s="8" t="n">
        <v>-80.1928702</v>
      </c>
      <c r="O12" s="9" t="inlineStr">
        <is>
          <t>View on Map</t>
        </is>
      </c>
      <c r="P12" s="6" t="n"/>
      <c r="Q12" s="6" t="n"/>
      <c r="R12" s="6" t="inlineStr">
        <is>
          <t>Forty Floors Up</t>
        </is>
      </c>
      <c r="S12" s="6" t="inlineStr">
        <is>
          <t>nightlife</t>
        </is>
      </c>
      <c r="T12" s="6" t="inlineStr">
        <is>
          <t>medium</t>
        </is>
      </c>
      <c r="U12" s="10" t="n">
        <v>150</v>
      </c>
      <c r="V12" s="10" t="n">
        <v>75</v>
      </c>
      <c r="W12" s="6" t="inlineStr">
        <is>
          <t>10–20 min</t>
        </is>
      </c>
      <c r="X12" s="11" t="inlineStr">
        <is>
          <t>Reach Sugar on EAST Miami's 40th floor and capture the Brickell skyline from the rooftop.</t>
        </is>
      </c>
      <c r="Y12" s="9" t="inlineStr">
        <is>
          <t>Website</t>
        </is>
      </c>
      <c r="Z12" s="9" t="inlineStr">
        <is>
          <t>Google Reviews</t>
        </is>
      </c>
      <c r="AA12" s="9" t="inlineStr">
        <is>
          <t>Instagram</t>
        </is>
      </c>
      <c r="AB12" s="12" t="inlineStr">
        <is>
          <t>Needs Sourcing</t>
        </is>
      </c>
      <c r="AC12" s="12" t="inlineStr">
        <is>
          <t>Needs Sourcing</t>
        </is>
      </c>
      <c r="AD12" s="12" t="inlineStr">
        <is>
          <t>Needs Sourcing</t>
        </is>
      </c>
      <c r="AE12" s="7" t="inlineStr">
        <is>
          <t>active</t>
        </is>
      </c>
      <c r="AF12" s="7" t="inlineStr">
        <is>
          <t>verified</t>
        </is>
      </c>
      <c r="AG12" s="7" t="inlineStr">
        <is>
          <t>active</t>
        </is>
      </c>
      <c r="AH12" s="6" t="inlineStr">
        <is>
          <t>2026-07-07</t>
        </is>
      </c>
      <c r="AI12" s="11" t="inlineStr">
        <is>
          <t>Decision maker: Director of Nightlife; Contact: sugar@easthotels.com. Correction: input Instagram handle '@sugarmiami' is incorrect - the venue's real active Instagram account is @sugar.rooftop (56K followers). 40th-floor Balinese-inspired rooftop bar at EAST, Miami hotel. Precise coordinates not found from a reliable source, left null.</t>
        </is>
      </c>
    </row>
    <row r="13" ht="64" customHeight="1">
      <c r="A13" s="13" t="inlineStr">
        <is>
          <t>b1a724c6-da50-5641-90ee-4d4194c40e89</t>
        </is>
      </c>
      <c r="B13" s="13" t="inlineStr">
        <is>
          <t>7460b27b-0e46-5365-8a6e-1a99418dfd4f</t>
        </is>
      </c>
      <c r="C13" s="13" t="inlineStr">
        <is>
          <t>33a05f27-fd32-5bff-9c25-4d95cf230f25</t>
        </is>
      </c>
      <c r="D13" s="13" t="inlineStr">
        <is>
          <t>tea-room-east-miami</t>
        </is>
      </c>
      <c r="E13" s="13" t="inlineStr">
        <is>
          <t>Tea Room</t>
        </is>
      </c>
      <c r="F13" s="13" t="inlineStr">
        <is>
          <t>venue</t>
        </is>
      </c>
      <c r="G13" s="7" t="inlineStr">
        <is>
          <t>active</t>
        </is>
      </c>
      <c r="H13" s="13" t="inlineStr">
        <is>
          <t>tearoom@easthotels.com</t>
        </is>
      </c>
      <c r="I13" s="13" t="inlineStr">
        <is>
          <t>Tea Room at EAST, Miami</t>
        </is>
      </c>
      <c r="J13" s="13" t="inlineStr">
        <is>
          <t>788 Brickell Plaza, Miami, FL 33131</t>
        </is>
      </c>
      <c r="K13" s="13" t="inlineStr">
        <is>
          <t>Brickell</t>
        </is>
      </c>
      <c r="L13" s="13" t="inlineStr">
        <is>
          <t>Miami</t>
        </is>
      </c>
      <c r="M13" s="14" t="n">
        <v>25.7666577</v>
      </c>
      <c r="N13" s="14" t="n">
        <v>-80.1927661</v>
      </c>
      <c r="O13" s="15" t="inlineStr">
        <is>
          <t>View on Map</t>
        </is>
      </c>
      <c r="P13" s="13" t="n"/>
      <c r="Q13" s="13" t="inlineStr">
        <is>
          <t>Open Thu–Sat</t>
        </is>
      </c>
      <c r="R13" s="13" t="inlineStr">
        <is>
          <t>High Tea, Literally</t>
        </is>
      </c>
      <c r="S13" s="13" t="inlineStr">
        <is>
          <t>nightlife</t>
        </is>
      </c>
      <c r="T13" s="13" t="inlineStr">
        <is>
          <t>medium</t>
        </is>
      </c>
      <c r="U13" s="16" t="n">
        <v>150</v>
      </c>
      <c r="V13" s="16" t="n">
        <v>75</v>
      </c>
      <c r="W13" s="13" t="inlineStr">
        <is>
          <t>10–20 min</t>
        </is>
      </c>
      <c r="X13" s="17" t="inlineStr">
        <is>
          <t>On a Thursday, Friday or Saturday, ride up EAST Miami and find the Tea Room on the 40th floor. Capture your proof.</t>
        </is>
      </c>
      <c r="Y13" s="15" t="inlineStr">
        <is>
          <t>Website</t>
        </is>
      </c>
      <c r="Z13" s="15" t="inlineStr">
        <is>
          <t>Google Reviews</t>
        </is>
      </c>
      <c r="AA13" s="15" t="inlineStr">
        <is>
          <t>Instagram</t>
        </is>
      </c>
      <c r="AB13" s="12" t="inlineStr">
        <is>
          <t>Needs Sourcing</t>
        </is>
      </c>
      <c r="AC13" s="12" t="inlineStr">
        <is>
          <t>Needs Sourcing</t>
        </is>
      </c>
      <c r="AD13" s="12" t="inlineStr">
        <is>
          <t>Needs Sourcing</t>
        </is>
      </c>
      <c r="AE13" s="7" t="inlineStr">
        <is>
          <t>active</t>
        </is>
      </c>
      <c r="AF13" s="7" t="inlineStr">
        <is>
          <t>verified</t>
        </is>
      </c>
      <c r="AG13" s="7" t="inlineStr">
        <is>
          <t>active</t>
        </is>
      </c>
      <c r="AH13" s="13" t="inlineStr">
        <is>
          <t>2026-07-07</t>
        </is>
      </c>
      <c r="AI13" s="17" t="inlineStr">
        <is>
          <t>Decision maker: Nightlife Director. Contact: tearoom@easthotels.com. Input Instagram handle @tearoomeast could not be verified/found; the active official Instagram handle is @tearoom.mia. 40th-floor Asian-inspired cocktail lounge/speakeasy atop EAST Miami hotel; open Thu-Sat per current hotel site.</t>
        </is>
      </c>
    </row>
    <row r="14" ht="64" customHeight="1">
      <c r="A14" s="6" t="inlineStr">
        <is>
          <t>f83fafee-9d6f-5c55-99f2-cf2df2fa9c51</t>
        </is>
      </c>
      <c r="B14" s="6" t="inlineStr">
        <is>
          <t>ce80b621-f3a6-5010-86f2-5e110dd54c14</t>
        </is>
      </c>
      <c r="C14" s="6" t="inlineStr">
        <is>
          <t>63bbc92f-9faa-55d5-b68a-0ac653f0ad1c</t>
        </is>
      </c>
      <c r="D14" s="6" t="inlineStr">
        <is>
          <t>midorie-coconut-grove</t>
        </is>
      </c>
      <c r="E14" s="6" t="inlineStr">
        <is>
          <t>Midorie Miami</t>
        </is>
      </c>
      <c r="F14" s="6" t="inlineStr">
        <is>
          <t>venue</t>
        </is>
      </c>
      <c r="G14" s="7" t="inlineStr">
        <is>
          <t>active</t>
        </is>
      </c>
      <c r="H14" s="6" t="inlineStr">
        <is>
          <t>hello@midoriemiami.com</t>
        </is>
      </c>
      <c r="I14" s="6" t="inlineStr">
        <is>
          <t>Midorie Miami</t>
        </is>
      </c>
      <c r="J14" s="6" t="inlineStr">
        <is>
          <t>3444 Main Hwy, Miami, FL 33133</t>
        </is>
      </c>
      <c r="K14" s="6" t="inlineStr">
        <is>
          <t>Coconut Grove</t>
        </is>
      </c>
      <c r="L14" s="6" t="inlineStr">
        <is>
          <t>Miami</t>
        </is>
      </c>
      <c r="M14" s="8" t="n">
        <v>25.727493</v>
      </c>
      <c r="N14" s="8" t="n">
        <v>-80.243396</v>
      </c>
      <c r="O14" s="9" t="inlineStr">
        <is>
          <t>View on Map</t>
        </is>
      </c>
      <c r="P14" s="6" t="n"/>
      <c r="Q14" s="6" t="n"/>
      <c r="R14" s="6" t="inlineStr">
        <is>
          <t>Lost in the Grove</t>
        </is>
      </c>
      <c r="S14" s="6" t="inlineStr">
        <is>
          <t>hidden_gem</t>
        </is>
      </c>
      <c r="T14" s="6" t="inlineStr">
        <is>
          <t>easy</t>
        </is>
      </c>
      <c r="U14" s="10" t="n">
        <v>50</v>
      </c>
      <c r="V14" s="10" t="n">
        <v>25</v>
      </c>
      <c r="W14" s="6" t="inlineStr">
        <is>
          <t>5–10 min</t>
        </is>
      </c>
      <c r="X14" s="11" t="inlineStr">
        <is>
          <t>Find Midorie on Coconut Grove's Main Highway and photograph the greenest corner you can find.</t>
        </is>
      </c>
      <c r="Y14" s="9" t="inlineStr">
        <is>
          <t>Website</t>
        </is>
      </c>
      <c r="Z14" s="9" t="inlineStr">
        <is>
          <t>Google Reviews</t>
        </is>
      </c>
      <c r="AA14" s="9" t="inlineStr">
        <is>
          <t>Instagram</t>
        </is>
      </c>
      <c r="AB14" s="12" t="inlineStr">
        <is>
          <t>Needs Sourcing</t>
        </is>
      </c>
      <c r="AC14" s="12" t="inlineStr">
        <is>
          <t>Needs Sourcing</t>
        </is>
      </c>
      <c r="AD14" s="12" t="inlineStr">
        <is>
          <t>Needs Sourcing</t>
        </is>
      </c>
      <c r="AE14" s="7" t="inlineStr">
        <is>
          <t>active</t>
        </is>
      </c>
      <c r="AF14" s="7" t="inlineStr">
        <is>
          <t>verified</t>
        </is>
      </c>
      <c r="AG14" s="7" t="inlineStr">
        <is>
          <t>active</t>
        </is>
      </c>
      <c r="AH14" s="6" t="inlineStr">
        <is>
          <t>2026-07-07</t>
        </is>
      </c>
      <c r="AI14" s="11" t="inlineStr">
        <is>
          <t>Decision maker: Owner; Contact: hello@midoriemiami.com. Input neighborhood 'Coconut Grove / Edge' normalized to Coconut Grove, matching the flagship Main Highway location. Input Instagram handle @midoriemiami not found exactly; active handle is @midorie_miami (with underscore). A second Midorie location also exists at 851 NE 79th St (Upper East Side).</t>
        </is>
      </c>
    </row>
    <row r="15" ht="64" customHeight="1">
      <c r="A15" s="13" t="inlineStr">
        <is>
          <t>12c8638e-fe85-540f-8160-72c32394f39d</t>
        </is>
      </c>
      <c r="B15" s="13" t="inlineStr">
        <is>
          <t>3d95c2c5-f123-51bf-b4b4-97f6747503f9</t>
        </is>
      </c>
      <c r="C15" s="13" t="inlineStr">
        <is>
          <t>0c3a609b-ca93-5a1f-bc05-cbe8f0ebb0dc</t>
        </is>
      </c>
      <c r="D15" s="13" t="inlineStr">
        <is>
          <t>regatta-harbour-coconut-grove</t>
        </is>
      </c>
      <c r="E15" s="13" t="inlineStr">
        <is>
          <t>Regatta Harbour</t>
        </is>
      </c>
      <c r="F15" s="13" t="inlineStr">
        <is>
          <t>venue</t>
        </is>
      </c>
      <c r="G15" s="7" t="inlineStr">
        <is>
          <t>active</t>
        </is>
      </c>
      <c r="H15" s="13" t="inlineStr">
        <is>
          <t>info@regattaharbour.com</t>
        </is>
      </c>
      <c r="I15" s="13" t="inlineStr">
        <is>
          <t>Regatta Harbour</t>
        </is>
      </c>
      <c r="J15" s="13" t="inlineStr">
        <is>
          <t>3385 Pan American Dr, Miami, FL 33133</t>
        </is>
      </c>
      <c r="K15" s="13" t="inlineStr">
        <is>
          <t>Coconut Grove</t>
        </is>
      </c>
      <c r="L15" s="13" t="inlineStr">
        <is>
          <t>Miami</t>
        </is>
      </c>
      <c r="M15" s="14" t="n">
        <v>25.7284643</v>
      </c>
      <c r="N15" s="14" t="n">
        <v>-80.2339205</v>
      </c>
      <c r="O15" s="15" t="inlineStr">
        <is>
          <t>View on Map</t>
        </is>
      </c>
      <c r="P15" s="13" t="n"/>
      <c r="Q15" s="13" t="n"/>
      <c r="R15" s="13" t="inlineStr">
        <is>
          <t>Dinner Key Discovery</t>
        </is>
      </c>
      <c r="S15" s="13" t="inlineStr">
        <is>
          <t>outdoors</t>
        </is>
      </c>
      <c r="T15" s="13" t="inlineStr">
        <is>
          <t>medium</t>
        </is>
      </c>
      <c r="U15" s="16" t="n">
        <v>150</v>
      </c>
      <c r="V15" s="16" t="n">
        <v>75</v>
      </c>
      <c r="W15" s="13" t="inlineStr">
        <is>
          <t>10–15 min</t>
        </is>
      </c>
      <c r="X15" s="17" t="inlineStr">
        <is>
          <t>Explore Regatta Harbour and photograph the spot where the Grove meets the water — boats required in frame.</t>
        </is>
      </c>
      <c r="Y15" s="15" t="inlineStr">
        <is>
          <t>Website</t>
        </is>
      </c>
      <c r="Z15" s="15" t="inlineStr">
        <is>
          <t>Google Reviews</t>
        </is>
      </c>
      <c r="AA15" s="15" t="inlineStr">
        <is>
          <t>Instagram</t>
        </is>
      </c>
      <c r="AB15" s="12" t="inlineStr">
        <is>
          <t>Needs Sourcing</t>
        </is>
      </c>
      <c r="AC15" s="12" t="inlineStr">
        <is>
          <t>Needs Sourcing</t>
        </is>
      </c>
      <c r="AD15" s="12" t="inlineStr">
        <is>
          <t>Needs Sourcing</t>
        </is>
      </c>
      <c r="AE15" s="7" t="inlineStr">
        <is>
          <t>active</t>
        </is>
      </c>
      <c r="AF15" s="7" t="inlineStr">
        <is>
          <t>verified</t>
        </is>
      </c>
      <c r="AG15" s="7" t="inlineStr">
        <is>
          <t>active</t>
        </is>
      </c>
      <c r="AH15" s="13" t="inlineStr">
        <is>
          <t>2026-07-07</t>
        </is>
      </c>
      <c r="AI15" s="17" t="inlineStr">
        <is>
          <t>Waterfront retail/dining/marina destination on historic Dinner Key in Coconut Grove, operated by Breakwater Hospitality Group; includes Regatta Grove dining hub and Regatta Marina. Active and operating as of July 2026 per current posted hours. Decision maker: Project Leasing Mgr; contact: info@regattaharbour.com.</t>
        </is>
      </c>
    </row>
    <row r="16" ht="49" customHeight="1">
      <c r="A16" s="6" t="inlineStr">
        <is>
          <t>517557a0-c5f4-5b89-8dae-0846ab1831d4</t>
        </is>
      </c>
      <c r="B16" s="6" t="inlineStr">
        <is>
          <t>1e79560c-2d8c-581f-9e0a-3b82891975e3</t>
        </is>
      </c>
      <c r="C16" s="6" t="inlineStr">
        <is>
          <t>36c08d29-1d66-5b07-922e-847467d4fa43</t>
        </is>
      </c>
      <c r="D16" s="6" t="inlineStr">
        <is>
          <t>the-kampong-coconut-grove</t>
        </is>
      </c>
      <c r="E16" s="6" t="inlineStr">
        <is>
          <t>The Kampong</t>
        </is>
      </c>
      <c r="F16" s="6" t="inlineStr">
        <is>
          <t>venue</t>
        </is>
      </c>
      <c r="G16" s="7" t="inlineStr">
        <is>
          <t>active</t>
        </is>
      </c>
      <c r="H16" s="6" t="inlineStr">
        <is>
          <t>kampong@ntbg.org</t>
        </is>
      </c>
      <c r="I16" s="6" t="inlineStr">
        <is>
          <t>The Kampong (National Tropical Botanical Garden)</t>
        </is>
      </c>
      <c r="J16" s="6" t="inlineStr">
        <is>
          <t>4013 S Douglas Rd, Miami, FL 33133</t>
        </is>
      </c>
      <c r="K16" s="6" t="inlineStr">
        <is>
          <t>Coconut Grove</t>
        </is>
      </c>
      <c r="L16" s="6" t="inlineStr">
        <is>
          <t>Miami</t>
        </is>
      </c>
      <c r="M16" s="8" t="n">
        <v>25.7152781</v>
      </c>
      <c r="N16" s="8" t="n">
        <v>-80.2503978</v>
      </c>
      <c r="O16" s="9" t="inlineStr">
        <is>
          <t>View on Map</t>
        </is>
      </c>
      <c r="P16" s="6" t="n"/>
      <c r="Q16" s="6" t="n"/>
      <c r="R16" s="6" t="inlineStr">
        <is>
          <t>The Secret Garden of the Grove</t>
        </is>
      </c>
      <c r="S16" s="6" t="inlineStr">
        <is>
          <t>outdoors</t>
        </is>
      </c>
      <c r="T16" s="6" t="inlineStr">
        <is>
          <t>medium</t>
        </is>
      </c>
      <c r="U16" s="10" t="n">
        <v>150</v>
      </c>
      <c r="V16" s="10" t="n">
        <v>75</v>
      </c>
      <c r="W16" s="6" t="inlineStr">
        <is>
          <t>15–20 min</t>
        </is>
      </c>
      <c r="X16" s="11" t="inlineStr">
        <is>
          <t>Explore The Kampong's grounds and photograph the tree or plant that looks most like it escaped from a storybook.</t>
        </is>
      </c>
      <c r="Y16" s="9" t="inlineStr">
        <is>
          <t>Website</t>
        </is>
      </c>
      <c r="Z16" s="9" t="inlineStr">
        <is>
          <t>Google Reviews</t>
        </is>
      </c>
      <c r="AA16" s="9" t="inlineStr">
        <is>
          <t>Instagram</t>
        </is>
      </c>
      <c r="AB16" s="12" t="inlineStr">
        <is>
          <t>Needs Sourcing</t>
        </is>
      </c>
      <c r="AC16" s="12" t="inlineStr">
        <is>
          <t>Needs Sourcing</t>
        </is>
      </c>
      <c r="AD16" s="12" t="inlineStr">
        <is>
          <t>Needs Sourcing</t>
        </is>
      </c>
      <c r="AE16" s="7" t="inlineStr">
        <is>
          <t>active</t>
        </is>
      </c>
      <c r="AF16" s="7" t="inlineStr">
        <is>
          <t>verified</t>
        </is>
      </c>
      <c r="AG16" s="7" t="inlineStr">
        <is>
          <t>active</t>
        </is>
      </c>
      <c r="AH16" s="6" t="inlineStr">
        <is>
          <t>2026-07-07</t>
        </is>
      </c>
      <c r="AI16" s="11" t="inlineStr">
        <is>
          <t>Decision maker: Garden Director. Contact: kampong@ntbg.org. One of five gardens of the National Tropical Botanical Garden; historic Fairchild/Sweeney estate. Coconut Grove is a neighborhood within the City of Miami (not a separate municipality).</t>
        </is>
      </c>
    </row>
    <row r="17" ht="49" customHeight="1">
      <c r="A17" s="13" t="inlineStr">
        <is>
          <t>1289e7fc-a10a-5f27-abda-c1e52cc67b09</t>
        </is>
      </c>
      <c r="B17" s="13" t="inlineStr">
        <is>
          <t>421f85f6-07e7-5392-8ef6-ded4d17e1021</t>
        </is>
      </c>
      <c r="C17" s="13" t="inlineStr">
        <is>
          <t>617044a3-282a-5211-bf44-49065ab56969</t>
        </is>
      </c>
      <c r="D17" s="13" t="inlineStr">
        <is>
          <t>bachour-coral-gables</t>
        </is>
      </c>
      <c r="E17" s="13" t="inlineStr">
        <is>
          <t>Bachour</t>
        </is>
      </c>
      <c r="F17" s="13" t="inlineStr">
        <is>
          <t>venue</t>
        </is>
      </c>
      <c r="G17" s="7" t="inlineStr">
        <is>
          <t>active</t>
        </is>
      </c>
      <c r="H17" s="13" t="inlineStr">
        <is>
          <t>info@antoniobachour.com</t>
        </is>
      </c>
      <c r="I17" s="13" t="inlineStr">
        <is>
          <t>Bachour Coral Gables</t>
        </is>
      </c>
      <c r="J17" s="13" t="inlineStr">
        <is>
          <t>2020 Salzedo St, Coral Gables, FL 33134</t>
        </is>
      </c>
      <c r="K17" s="13" t="inlineStr">
        <is>
          <t>Coral Gables</t>
        </is>
      </c>
      <c r="L17" s="13" t="inlineStr">
        <is>
          <t>Coral Gables</t>
        </is>
      </c>
      <c r="M17" s="14" t="n">
        <v>25.7538553</v>
      </c>
      <c r="N17" s="14" t="n">
        <v>-80.2611351</v>
      </c>
      <c r="O17" s="15" t="inlineStr">
        <is>
          <t>View on Map</t>
        </is>
      </c>
      <c r="P17" s="13" t="n"/>
      <c r="Q17" s="13" t="n"/>
      <c r="R17" s="13" t="inlineStr">
        <is>
          <t>The Pastry Michelin Knows</t>
        </is>
      </c>
      <c r="S17" s="13" t="inlineStr">
        <is>
          <t>food</t>
        </is>
      </c>
      <c r="T17" s="13" t="inlineStr">
        <is>
          <t>easy</t>
        </is>
      </c>
      <c r="U17" s="16" t="n">
        <v>50</v>
      </c>
      <c r="V17" s="16" t="n">
        <v>25</v>
      </c>
      <c r="W17" s="13" t="inlineStr">
        <is>
          <t>5–10 min</t>
        </is>
      </c>
      <c r="X17" s="17" t="inlineStr">
        <is>
          <t>Find Bachour on Salzedo St and photograph the pastry display — then pick the one you'd personally award a star.</t>
        </is>
      </c>
      <c r="Y17" s="15" t="inlineStr">
        <is>
          <t>Website</t>
        </is>
      </c>
      <c r="Z17" s="15" t="inlineStr">
        <is>
          <t>Google Reviews</t>
        </is>
      </c>
      <c r="AA17" s="15" t="inlineStr">
        <is>
          <t>Instagram</t>
        </is>
      </c>
      <c r="AB17" s="12" t="inlineStr">
        <is>
          <t>Needs Sourcing</t>
        </is>
      </c>
      <c r="AC17" s="12" t="inlineStr">
        <is>
          <t>Needs Sourcing</t>
        </is>
      </c>
      <c r="AD17" s="12" t="inlineStr">
        <is>
          <t>Needs Sourcing</t>
        </is>
      </c>
      <c r="AE17" s="7" t="inlineStr">
        <is>
          <t>active</t>
        </is>
      </c>
      <c r="AF17" s="7" t="inlineStr">
        <is>
          <t>verified</t>
        </is>
      </c>
      <c r="AG17" s="7" t="inlineStr">
        <is>
          <t>active</t>
        </is>
      </c>
      <c r="AH17" s="13" t="inlineStr">
        <is>
          <t>2026-07-07</t>
        </is>
      </c>
      <c r="AI17" s="17" t="inlineStr">
        <is>
          <t>Decision maker: Chef Antonio Bachour; Contact: info@antoniobachour.com. Michelin Bib Gourmand bakery/restaurant. Note: address is technically in Coral Gables (a separate municipality), not Miami proper.</t>
        </is>
      </c>
    </row>
    <row r="18" ht="49" customHeight="1">
      <c r="A18" s="6" t="inlineStr">
        <is>
          <t>7dd057e2-0f2d-5315-8ec9-57bb715c0773</t>
        </is>
      </c>
      <c r="B18" s="6" t="inlineStr">
        <is>
          <t>3a4cc420-5ef9-5972-87f2-0b19eb5bea6b</t>
        </is>
      </c>
      <c r="C18" s="6" t="inlineStr">
        <is>
          <t>410e40e4-eaec-57a2-948f-5a54e18284f0</t>
        </is>
      </c>
      <c r="D18" s="6" t="inlineStr">
        <is>
          <t>books-and-books-coral-gables</t>
        </is>
      </c>
      <c r="E18" s="6" t="inlineStr">
        <is>
          <t>Books &amp; Books</t>
        </is>
      </c>
      <c r="F18" s="6" t="inlineStr">
        <is>
          <t>venue</t>
        </is>
      </c>
      <c r="G18" s="7" t="inlineStr">
        <is>
          <t>active</t>
        </is>
      </c>
      <c r="H18" s="6" t="inlineStr">
        <is>
          <t>events@booksandbooks.com</t>
        </is>
      </c>
      <c r="I18" s="6" t="inlineStr">
        <is>
          <t>Books &amp; Books - Coral Gables</t>
        </is>
      </c>
      <c r="J18" s="6" t="inlineStr">
        <is>
          <t>265 Aragon Ave, Coral Gables, FL 33134</t>
        </is>
      </c>
      <c r="K18" s="6" t="inlineStr">
        <is>
          <t>Coral Gables</t>
        </is>
      </c>
      <c r="L18" s="6" t="inlineStr">
        <is>
          <t>Coral Gables</t>
        </is>
      </c>
      <c r="M18" s="8" t="n">
        <v>25.7506451</v>
      </c>
      <c r="N18" s="8" t="n">
        <v>-80.2600624</v>
      </c>
      <c r="O18" s="9" t="inlineStr">
        <is>
          <t>View on Map</t>
        </is>
      </c>
      <c r="P18" s="6" t="n"/>
      <c r="Q18" s="6" t="n"/>
      <c r="R18" s="6" t="inlineStr">
        <is>
          <t>Shelf Discovery</t>
        </is>
      </c>
      <c r="S18" s="6" t="inlineStr">
        <is>
          <t>culture</t>
        </is>
      </c>
      <c r="T18" s="6" t="inlineStr">
        <is>
          <t>medium</t>
        </is>
      </c>
      <c r="U18" s="10" t="n">
        <v>150</v>
      </c>
      <c r="V18" s="10" t="n">
        <v>75</v>
      </c>
      <c r="W18" s="6" t="inlineStr">
        <is>
          <t>10–15 min</t>
        </is>
      </c>
      <c r="X18" s="11" t="inlineStr">
        <is>
          <t>Wander the flagship's shelves and find one book you'd never have discovered online. Photograph the cover where you found it.</t>
        </is>
      </c>
      <c r="Y18" s="9" t="inlineStr">
        <is>
          <t>Website</t>
        </is>
      </c>
      <c r="Z18" s="9" t="inlineStr">
        <is>
          <t>Google Reviews</t>
        </is>
      </c>
      <c r="AA18" s="9" t="inlineStr">
        <is>
          <t>Instagram</t>
        </is>
      </c>
      <c r="AB18" s="12" t="inlineStr">
        <is>
          <t>Needs Sourcing</t>
        </is>
      </c>
      <c r="AC18" s="12" t="inlineStr">
        <is>
          <t>Needs Sourcing</t>
        </is>
      </c>
      <c r="AD18" s="12" t="inlineStr">
        <is>
          <t>Needs Sourcing</t>
        </is>
      </c>
      <c r="AE18" s="7" t="inlineStr">
        <is>
          <t>active</t>
        </is>
      </c>
      <c r="AF18" s="7" t="inlineStr">
        <is>
          <t>verified</t>
        </is>
      </c>
      <c r="AG18" s="7" t="inlineStr">
        <is>
          <t>active</t>
        </is>
      </c>
      <c r="AH18" s="6" t="inlineStr">
        <is>
          <t>2026-07-07</t>
        </is>
      </c>
      <c r="AI18" s="11" t="inlineStr">
        <is>
          <t>Decision maker: Events Coordinator; Contact: events@booksandbooks.com. Iconic independently-owned Miami-area bookstore chain founded 1982; Coral Gables flagship confirmed active, Yelp updated June 2026.</t>
        </is>
      </c>
    </row>
    <row r="19" ht="64" customHeight="1">
      <c r="A19" s="13" t="inlineStr">
        <is>
          <t>7eebe307-0a32-5996-9258-2068eae3df78</t>
        </is>
      </c>
      <c r="B19" s="13" t="inlineStr">
        <is>
          <t>f676da93-90c5-5a46-9e9d-c07d8d721b17</t>
        </is>
      </c>
      <c r="C19" s="13" t="inlineStr">
        <is>
          <t>111a4bb7-ae6b-574d-b49b-f742f1d7a1b4</t>
        </is>
      </c>
      <c r="D19" s="13" t="inlineStr">
        <is>
          <t>coral-gables-congregational-church</t>
        </is>
      </c>
      <c r="E19" s="13" t="inlineStr">
        <is>
          <t>Coral Gables Congregational United Church of Christ</t>
        </is>
      </c>
      <c r="F19" s="13" t="inlineStr">
        <is>
          <t>venue</t>
        </is>
      </c>
      <c r="G19" s="7" t="inlineStr">
        <is>
          <t>active</t>
        </is>
      </c>
      <c r="H19" s="13" t="inlineStr">
        <is>
          <t>info@gablesucc.org</t>
        </is>
      </c>
      <c r="I19" s="13" t="inlineStr">
        <is>
          <t>Coral Gables Congregational United Church of Christ</t>
        </is>
      </c>
      <c r="J19" s="13" t="inlineStr">
        <is>
          <t>3010 De Soto Blvd, Coral Gables, FL 33134</t>
        </is>
      </c>
      <c r="K19" s="13" t="inlineStr">
        <is>
          <t>Coral Gables</t>
        </is>
      </c>
      <c r="L19" s="13" t="inlineStr">
        <is>
          <t>Coral Gables</t>
        </is>
      </c>
      <c r="M19" s="14" t="n">
        <v>25.7428751</v>
      </c>
      <c r="N19" s="14" t="n">
        <v>-80.27848899999999</v>
      </c>
      <c r="O19" s="15" t="inlineStr">
        <is>
          <t>View on Map</t>
        </is>
      </c>
      <c r="P19" s="13" t="n"/>
      <c r="Q19" s="13" t="n"/>
      <c r="R19" s="13" t="inlineStr">
        <is>
          <t>The Landmark Across the Way</t>
        </is>
      </c>
      <c r="S19" s="13" t="inlineStr">
        <is>
          <t>culture</t>
        </is>
      </c>
      <c r="T19" s="13" t="inlineStr">
        <is>
          <t>easy</t>
        </is>
      </c>
      <c r="U19" s="16" t="n">
        <v>50</v>
      </c>
      <c r="V19" s="16" t="n">
        <v>25</v>
      </c>
      <c r="W19" s="13" t="inlineStr">
        <is>
          <t>5–10 min</t>
        </is>
      </c>
      <c r="X19" s="17" t="inlineStr">
        <is>
          <t>Find the church on De Soto Blvd and photograph your favorite Mediterranean Revival detail of the building.</t>
        </is>
      </c>
      <c r="Y19" s="15" t="inlineStr">
        <is>
          <t>Website</t>
        </is>
      </c>
      <c r="Z19" s="15" t="inlineStr">
        <is>
          <t>Google Reviews</t>
        </is>
      </c>
      <c r="AA19" s="15" t="inlineStr">
        <is>
          <t>Instagram</t>
        </is>
      </c>
      <c r="AB19" s="12" t="inlineStr">
        <is>
          <t>Needs Sourcing</t>
        </is>
      </c>
      <c r="AC19" s="12" t="inlineStr">
        <is>
          <t>Needs Sourcing</t>
        </is>
      </c>
      <c r="AD19" s="12" t="inlineStr">
        <is>
          <t>Needs Sourcing</t>
        </is>
      </c>
      <c r="AE19" s="7" t="inlineStr">
        <is>
          <t>active</t>
        </is>
      </c>
      <c r="AF19" s="7" t="inlineStr">
        <is>
          <t>verified</t>
        </is>
      </c>
      <c r="AG19" s="7" t="inlineStr">
        <is>
          <t>active</t>
        </is>
      </c>
      <c r="AH19" s="13" t="inlineStr">
        <is>
          <t>2026-07-07</t>
        </is>
      </c>
      <c r="AI19" s="17" t="inlineStr">
        <is>
          <t>Decision maker: Church Historian. Contact: info@gablesucc.org. Historic Mediterranean Revival church located directly across from the Biltmore Hotel; listed on National Register of Historic Places. Input Instagram handle '@gablesucc' could not be confirmed exactly — verified active account is '@coralgablesucc'.</t>
        </is>
      </c>
    </row>
    <row r="20" ht="64" customHeight="1">
      <c r="A20" s="6" t="inlineStr">
        <is>
          <t>6ce551ac-e782-5f2d-9078-0dc88fa4db72</t>
        </is>
      </c>
      <c r="B20" s="6" t="inlineStr">
        <is>
          <t>861e0c2e-4010-584e-bab5-42fc8eea9403</t>
        </is>
      </c>
      <c r="C20" s="6" t="inlineStr">
        <is>
          <t>06b8dc6d-d62d-5853-87de-600cf264d3d2</t>
        </is>
      </c>
      <c r="D20" s="6" t="inlineStr">
        <is>
          <t>giralda-plaza</t>
        </is>
      </c>
      <c r="E20" s="6" t="inlineStr">
        <is>
          <t>Giralda Plaza</t>
        </is>
      </c>
      <c r="F20" s="6" t="inlineStr">
        <is>
          <t>venue</t>
        </is>
      </c>
      <c r="G20" s="7" t="inlineStr">
        <is>
          <t>active</t>
        </is>
      </c>
      <c r="H20" s="6" t="inlineStr">
        <is>
          <t>info@giraldaplaza.com</t>
        </is>
      </c>
      <c r="I20" s="6" t="inlineStr">
        <is>
          <t>Giralda Plaza</t>
        </is>
      </c>
      <c r="J20" s="6" t="inlineStr">
        <is>
          <t>100 block of Giralda Ave, Coral Gables, FL 33134</t>
        </is>
      </c>
      <c r="K20" s="6" t="inlineStr">
        <is>
          <t>Coral Gables</t>
        </is>
      </c>
      <c r="L20" s="6" t="inlineStr">
        <is>
          <t>Coral Gables</t>
        </is>
      </c>
      <c r="M20" s="8" t="n">
        <v>25.7514867</v>
      </c>
      <c r="N20" s="8" t="n">
        <v>-80.25706340000001</v>
      </c>
      <c r="O20" s="9" t="inlineStr">
        <is>
          <t>View on Map</t>
        </is>
      </c>
      <c r="P20" s="6" t="n"/>
      <c r="Q20" s="6" t="n"/>
      <c r="R20" s="6" t="inlineStr">
        <is>
          <t>The Pedestrian's Feast</t>
        </is>
      </c>
      <c r="S20" s="6" t="inlineStr">
        <is>
          <t>food</t>
        </is>
      </c>
      <c r="T20" s="6" t="inlineStr">
        <is>
          <t>easy</t>
        </is>
      </c>
      <c r="U20" s="10" t="n">
        <v>50</v>
      </c>
      <c r="V20" s="10" t="n">
        <v>25</v>
      </c>
      <c r="W20" s="6" t="inlineStr">
        <is>
          <t>5–10 min</t>
        </is>
      </c>
      <c r="X20" s="11" t="inlineStr">
        <is>
          <t>Stroll pedestrian-only Giralda Plaza end to end and photograph the table you'd claim on a Friday night.</t>
        </is>
      </c>
      <c r="Y20" s="9" t="inlineStr">
        <is>
          <t>Website</t>
        </is>
      </c>
      <c r="Z20" s="9" t="inlineStr">
        <is>
          <t>Google Reviews</t>
        </is>
      </c>
      <c r="AA20" s="9" t="inlineStr">
        <is>
          <t>Instagram</t>
        </is>
      </c>
      <c r="AB20" s="12" t="inlineStr">
        <is>
          <t>Needs Sourcing</t>
        </is>
      </c>
      <c r="AC20" s="12" t="inlineStr">
        <is>
          <t>Needs Sourcing</t>
        </is>
      </c>
      <c r="AD20" s="12" t="inlineStr">
        <is>
          <t>Needs Sourcing</t>
        </is>
      </c>
      <c r="AE20" s="7" t="inlineStr">
        <is>
          <t>active</t>
        </is>
      </c>
      <c r="AF20" s="7" t="inlineStr">
        <is>
          <t>verified</t>
        </is>
      </c>
      <c r="AG20" s="7" t="inlineStr">
        <is>
          <t>active</t>
        </is>
      </c>
      <c r="AH20" s="6" t="inlineStr">
        <is>
          <t>2026-07-07</t>
        </is>
      </c>
      <c r="AI20" s="11" t="inlineStr">
        <is>
          <t>Pedestrian dining/restaurant walkway in downtown Coral Gables, reopened 2017. Input Instagram handle '@giralda.plaza' appears to be incorrect/inactive; verified official handle is '@giraldaplaza'. Public space with a merchant association, not a single business. Decision maker: Merchant Assoc. Head; contact: info@giraldaplaza.com.</t>
        </is>
      </c>
    </row>
    <row r="21" ht="49" customHeight="1">
      <c r="A21" s="13" t="inlineStr">
        <is>
          <t>ef37220b-c1f4-578a-b0cc-2bbe3b575fb4</t>
        </is>
      </c>
      <c r="B21" s="13" t="inlineStr">
        <is>
          <t>ff8d6a60-1390-586c-89ed-06b9c7cea515</t>
        </is>
      </c>
      <c r="C21" s="13" t="inlineStr">
        <is>
          <t>a20285f9-cb39-5da1-8882-a597e5158d0c</t>
        </is>
      </c>
      <c r="D21" s="13" t="inlineStr">
        <is>
          <t>miracle-mile-coral-gables</t>
        </is>
      </c>
      <c r="E21" s="13" t="inlineStr">
        <is>
          <t>Miracle Mile</t>
        </is>
      </c>
      <c r="F21" s="13" t="inlineStr">
        <is>
          <t>venue</t>
        </is>
      </c>
      <c r="G21" s="7" t="inlineStr">
        <is>
          <t>active</t>
        </is>
      </c>
      <c r="H21" s="13" t="inlineStr">
        <is>
          <t>info@coralgableschamber.org</t>
        </is>
      </c>
      <c r="I21" s="13" t="inlineStr">
        <is>
          <t>Miracle Mile</t>
        </is>
      </c>
      <c r="J21" s="13" t="inlineStr">
        <is>
          <t>Coral Way between SW 37th Ave and SW 42nd Ave, Coral Gables, FL 33134</t>
        </is>
      </c>
      <c r="K21" s="13" t="inlineStr">
        <is>
          <t>Coral Gables</t>
        </is>
      </c>
      <c r="L21" s="13" t="inlineStr">
        <is>
          <t>Coral Gables</t>
        </is>
      </c>
      <c r="M21" s="14" t="n">
        <v>25.749713</v>
      </c>
      <c r="N21" s="14" t="n">
        <v>-80.255427</v>
      </c>
      <c r="O21" s="15" t="inlineStr">
        <is>
          <t>View on Map</t>
        </is>
      </c>
      <c r="P21" s="13" t="n"/>
      <c r="Q21" s="13" t="n"/>
      <c r="R21" s="13" t="inlineStr">
        <is>
          <t>The Half-Mile Miracle</t>
        </is>
      </c>
      <c r="S21" s="13" t="inlineStr">
        <is>
          <t>shopping</t>
        </is>
      </c>
      <c r="T21" s="13" t="inlineStr">
        <is>
          <t>easy</t>
        </is>
      </c>
      <c r="U21" s="16" t="n">
        <v>50</v>
      </c>
      <c r="V21" s="16" t="n">
        <v>25</v>
      </c>
      <c r="W21" s="13" t="inlineStr">
        <is>
          <t>15–20 min</t>
        </is>
      </c>
      <c r="X21" s="17" t="inlineStr">
        <is>
          <t>Walk Miracle Mile from one end to the other and photograph your favorite storefront along the way.</t>
        </is>
      </c>
      <c r="Y21" s="15" t="inlineStr">
        <is>
          <t>Website</t>
        </is>
      </c>
      <c r="Z21" s="15" t="inlineStr">
        <is>
          <t>Google Reviews</t>
        </is>
      </c>
      <c r="AA21" s="15" t="inlineStr">
        <is>
          <t>Instagram</t>
        </is>
      </c>
      <c r="AB21" s="12" t="inlineStr">
        <is>
          <t>Needs Sourcing</t>
        </is>
      </c>
      <c r="AC21" s="12" t="inlineStr">
        <is>
          <t>Needs Sourcing</t>
        </is>
      </c>
      <c r="AD21" s="12" t="inlineStr">
        <is>
          <t>Needs Sourcing</t>
        </is>
      </c>
      <c r="AE21" s="7" t="inlineStr">
        <is>
          <t>active</t>
        </is>
      </c>
      <c r="AF21" s="7" t="inlineStr">
        <is>
          <t>verified</t>
        </is>
      </c>
      <c r="AG21" s="7" t="inlineStr">
        <is>
          <t>active</t>
        </is>
      </c>
      <c r="AH21" s="13" t="inlineStr">
        <is>
          <t>2026-07-07</t>
        </is>
      </c>
      <c r="AI21" s="17" t="inlineStr">
        <is>
          <t>Public commercial/shopping street (0.5-mile stretch of Coral Way), not a single business - no single operator. Decision maker: Coral Gables BID Lead; contact: info@coralgableschamber.org.</t>
        </is>
      </c>
    </row>
    <row r="22" ht="79" customHeight="1">
      <c r="A22" s="6" t="inlineStr">
        <is>
          <t>ee11a99b-d812-5e8e-a97c-1b6b4c264c22</t>
        </is>
      </c>
      <c r="B22" s="6" t="inlineStr">
        <is>
          <t>4242b29b-7284-5d29-bb03-68ba09909251</t>
        </is>
      </c>
      <c r="C22" s="6" t="inlineStr">
        <is>
          <t>54a6f74c-377f-5032-a65f-022be3d507fd</t>
        </is>
      </c>
      <c r="D22" s="6" t="inlineStr">
        <is>
          <t>fairchild-tropical-garden</t>
        </is>
      </c>
      <c r="E22" s="6" t="inlineStr">
        <is>
          <t>Fairchild Tropical Botanic Garden</t>
        </is>
      </c>
      <c r="F22" s="6" t="inlineStr">
        <is>
          <t>venue</t>
        </is>
      </c>
      <c r="G22" s="7" t="inlineStr">
        <is>
          <t>active</t>
        </is>
      </c>
      <c r="H22" s="6" t="inlineStr">
        <is>
          <t>info@fairchildgarden.org</t>
        </is>
      </c>
      <c r="I22" s="6" t="inlineStr">
        <is>
          <t>Richard H. Simons Rainforest at Fairchild Tropical Botanic Garden</t>
        </is>
      </c>
      <c r="J22" s="6" t="inlineStr">
        <is>
          <t>10901 Old Cutler Rd, Coral Gables, FL 33156</t>
        </is>
      </c>
      <c r="K22" s="6" t="inlineStr">
        <is>
          <t>Coral Gables</t>
        </is>
      </c>
      <c r="L22" s="6" t="inlineStr">
        <is>
          <t>Coral Gables</t>
        </is>
      </c>
      <c r="M22" s="8" t="n">
        <v>25.676931</v>
      </c>
      <c r="N22" s="8" t="n">
        <v>-80.272789</v>
      </c>
      <c r="O22" s="9" t="inlineStr">
        <is>
          <t>View on Map</t>
        </is>
      </c>
      <c r="P22" s="6" t="n"/>
      <c r="Q22" s="6" t="n"/>
      <c r="R22" s="6" t="inlineStr">
        <is>
          <t>Rainforest Within the Garden</t>
        </is>
      </c>
      <c r="S22" s="6" t="inlineStr">
        <is>
          <t>outdoors</t>
        </is>
      </c>
      <c r="T22" s="6" t="inlineStr">
        <is>
          <t>medium</t>
        </is>
      </c>
      <c r="U22" s="10" t="n">
        <v>150</v>
      </c>
      <c r="V22" s="10" t="n">
        <v>75</v>
      </c>
      <c r="W22" s="6" t="inlineStr">
        <is>
          <t>15–20 min</t>
        </is>
      </c>
      <c r="X22" s="11" t="inlineStr">
        <is>
          <t>Find the Simons Rainforest inside Fairchild and photograph the waterfall tucked within it.</t>
        </is>
      </c>
      <c r="Y22" s="9" t="inlineStr">
        <is>
          <t>Website</t>
        </is>
      </c>
      <c r="Z22" s="9" t="inlineStr">
        <is>
          <t>Google Reviews</t>
        </is>
      </c>
      <c r="AA22" s="9" t="inlineStr">
        <is>
          <t>Instagram</t>
        </is>
      </c>
      <c r="AB22" s="12" t="inlineStr">
        <is>
          <t>Needs Sourcing</t>
        </is>
      </c>
      <c r="AC22" s="12" t="inlineStr">
        <is>
          <t>Needs Sourcing</t>
        </is>
      </c>
      <c r="AD22" s="12" t="inlineStr">
        <is>
          <t>Needs Sourcing</t>
        </is>
      </c>
      <c r="AE22" s="7" t="inlineStr">
        <is>
          <t>active</t>
        </is>
      </c>
      <c r="AF22" s="7" t="inlineStr">
        <is>
          <t>verified</t>
        </is>
      </c>
      <c r="AG22" s="7" t="inlineStr">
        <is>
          <t>active</t>
        </is>
      </c>
      <c r="AH22" s="6" t="inlineStr">
        <is>
          <t>2026-07-07</t>
        </is>
      </c>
      <c r="AI22" s="11" t="inlineStr">
        <is>
          <t>Decision maker: Botanical Lead. Contact: info@fairchildgarden.org. The 'rainforest' is a two-acre exhibit (the Richard H. Simons Rainforest, opened 2001, with a 500-ft waterfall) within the larger 83-acre Fairchild Tropical Botanic Garden. Address is technically in unincorporated Miami-Dade / Coral Gables postal area (input labeled 'Coral Gables Edge'); normalized to Coral Gables. Confirmed actively operating with 2026-dated reviews.</t>
        </is>
      </c>
    </row>
    <row r="23" ht="64" customHeight="1">
      <c r="A23" s="13" t="inlineStr">
        <is>
          <t>75761f77-6be2-5a33-b815-582044bc20c8</t>
        </is>
      </c>
      <c r="B23" s="13" t="inlineStr">
        <is>
          <t>88f4b8a6-e1c4-5417-97fb-a8511c54319f</t>
        </is>
      </c>
      <c r="C23" s="13" t="inlineStr">
        <is>
          <t>38947068-093a-5074-8308-fb73e9368cb7</t>
        </is>
      </c>
      <c r="D23" s="13" t="inlineStr">
        <is>
          <t>threefold-cafe-coral-gables</t>
        </is>
      </c>
      <c r="E23" s="13" t="inlineStr">
        <is>
          <t>Threefold Cafe</t>
        </is>
      </c>
      <c r="F23" s="13" t="inlineStr">
        <is>
          <t>venue</t>
        </is>
      </c>
      <c r="G23" s="7" t="inlineStr">
        <is>
          <t>active</t>
        </is>
      </c>
      <c r="H23" s="13" t="inlineStr">
        <is>
          <t>info@threefoldcafe.com</t>
        </is>
      </c>
      <c r="I23" s="13" t="inlineStr">
        <is>
          <t>Threefold Cafe</t>
        </is>
      </c>
      <c r="J23" s="13" t="inlineStr">
        <is>
          <t>141 Giralda Ave, Coral Gables, FL 33134</t>
        </is>
      </c>
      <c r="K23" s="13" t="inlineStr">
        <is>
          <t>Coral Gables</t>
        </is>
      </c>
      <c r="L23" s="13" t="inlineStr">
        <is>
          <t>Coral Gables</t>
        </is>
      </c>
      <c r="M23" s="14" t="n">
        <v>25.7514197</v>
      </c>
      <c r="N23" s="14" t="n">
        <v>-80.257631</v>
      </c>
      <c r="O23" s="15" t="inlineStr">
        <is>
          <t>View on Map</t>
        </is>
      </c>
      <c r="P23" s="13" t="n"/>
      <c r="Q23" s="13" t="n"/>
      <c r="R23" s="13" t="inlineStr">
        <is>
          <t>Down Under on Giralda</t>
        </is>
      </c>
      <c r="S23" s="13" t="inlineStr">
        <is>
          <t>food</t>
        </is>
      </c>
      <c r="T23" s="13" t="inlineStr">
        <is>
          <t>easy</t>
        </is>
      </c>
      <c r="U23" s="16" t="n">
        <v>50</v>
      </c>
      <c r="V23" s="16" t="n">
        <v>25</v>
      </c>
      <c r="W23" s="13" t="inlineStr">
        <is>
          <t>5–10 min</t>
        </is>
      </c>
      <c r="X23" s="17" t="inlineStr">
        <is>
          <t>Find Threefold on Giralda Ave and spot one unmistakably Australian touch on the menu or in the room.</t>
        </is>
      </c>
      <c r="Y23" s="15" t="inlineStr">
        <is>
          <t>Website</t>
        </is>
      </c>
      <c r="Z23" s="15" t="inlineStr">
        <is>
          <t>Google Reviews</t>
        </is>
      </c>
      <c r="AA23" s="15" t="inlineStr">
        <is>
          <t>Instagram</t>
        </is>
      </c>
      <c r="AB23" s="12" t="inlineStr">
        <is>
          <t>Needs Sourcing</t>
        </is>
      </c>
      <c r="AC23" s="12" t="inlineStr">
        <is>
          <t>Needs Sourcing</t>
        </is>
      </c>
      <c r="AD23" s="12" t="inlineStr">
        <is>
          <t>Needs Sourcing</t>
        </is>
      </c>
      <c r="AE23" s="7" t="inlineStr">
        <is>
          <t>active</t>
        </is>
      </c>
      <c r="AF23" s="7" t="inlineStr">
        <is>
          <t>verified</t>
        </is>
      </c>
      <c r="AG23" s="7" t="inlineStr">
        <is>
          <t>active</t>
        </is>
      </c>
      <c r="AH23" s="13" t="inlineStr">
        <is>
          <t>2026-07-07</t>
        </is>
      </c>
      <c r="AI23" s="17" t="inlineStr">
        <is>
          <t>Decision maker: Owner / Operator; Contact: info@threefoldcafe.com. Australian-inspired cafe opened 2014 by Nick and Teresa. Yelp updated July 2026, confirmed active. Coordinates not found via a reliable source (no Wikipedia/schema.org/map-embed match), left null rather than estimated.</t>
        </is>
      </c>
    </row>
    <row r="24" ht="49" customHeight="1">
      <c r="A24" s="6" t="inlineStr">
        <is>
          <t>fb12d6c3-465f-5130-9aa9-d06d87e2a182</t>
        </is>
      </c>
      <c r="B24" s="6" t="inlineStr">
        <is>
          <t>bc413e35-329b-5329-ad1e-f2a22d5cf2e4</t>
        </is>
      </c>
      <c r="C24" s="6" t="inlineStr">
        <is>
          <t>6c739246-f141-592a-b037-fa7e59f617cc</t>
        </is>
      </c>
      <c r="D24" s="6" t="inlineStr">
        <is>
          <t>el-carajo-coral-way</t>
        </is>
      </c>
      <c r="E24" s="6" t="inlineStr">
        <is>
          <t>El Carajo International Tapas &amp; Wine</t>
        </is>
      </c>
      <c r="F24" s="6" t="inlineStr">
        <is>
          <t>venue</t>
        </is>
      </c>
      <c r="G24" s="7" t="inlineStr">
        <is>
          <t>active</t>
        </is>
      </c>
      <c r="H24" s="6" t="inlineStr">
        <is>
          <t>info@el-carajo.com</t>
        </is>
      </c>
      <c r="I24" s="6" t="inlineStr">
        <is>
          <t>El Carajo</t>
        </is>
      </c>
      <c r="J24" s="6" t="inlineStr">
        <is>
          <t>2465 SW 17th Ave, Miami, FL 33145</t>
        </is>
      </c>
      <c r="K24" s="6" t="inlineStr">
        <is>
          <t>Coral Way</t>
        </is>
      </c>
      <c r="L24" s="6" t="inlineStr">
        <is>
          <t>Miami</t>
        </is>
      </c>
      <c r="M24" s="8" t="n">
        <v>25.7461508</v>
      </c>
      <c r="N24" s="8" t="n">
        <v>-80.221873</v>
      </c>
      <c r="O24" s="9" t="inlineStr">
        <is>
          <t>View on Map</t>
        </is>
      </c>
      <c r="P24" s="6" t="n"/>
      <c r="Q24" s="6" t="n"/>
      <c r="R24" s="6" t="inlineStr">
        <is>
          <t>Fill Up on Tapas</t>
        </is>
      </c>
      <c r="S24" s="6" t="inlineStr">
        <is>
          <t>hidden_gem</t>
        </is>
      </c>
      <c r="T24" s="6" t="inlineStr">
        <is>
          <t>medium</t>
        </is>
      </c>
      <c r="U24" s="10" t="n">
        <v>150</v>
      </c>
      <c r="V24" s="10" t="n">
        <v>75</v>
      </c>
      <c r="W24" s="6" t="inlineStr">
        <is>
          <t>10–15 min</t>
        </is>
      </c>
      <c r="X24" s="11" t="inlineStr">
        <is>
          <t>Walk past the gas pumps and find the tapas-and-wine restaurant hiding inside. Photograph the exact spot where gas station turns into Spain.</t>
        </is>
      </c>
      <c r="Y24" s="9" t="inlineStr">
        <is>
          <t>Website</t>
        </is>
      </c>
      <c r="Z24" s="9" t="inlineStr">
        <is>
          <t>Google Reviews</t>
        </is>
      </c>
      <c r="AA24" s="9" t="inlineStr">
        <is>
          <t>Instagram</t>
        </is>
      </c>
      <c r="AB24" s="12" t="inlineStr">
        <is>
          <t>Needs Sourcing</t>
        </is>
      </c>
      <c r="AC24" s="12" t="inlineStr">
        <is>
          <t>Needs Sourcing</t>
        </is>
      </c>
      <c r="AD24" s="12" t="inlineStr">
        <is>
          <t>Needs Sourcing</t>
        </is>
      </c>
      <c r="AE24" s="7" t="inlineStr">
        <is>
          <t>active</t>
        </is>
      </c>
      <c r="AF24" s="7" t="inlineStr">
        <is>
          <t>verified</t>
        </is>
      </c>
      <c r="AG24" s="7" t="inlineStr">
        <is>
          <t>active</t>
        </is>
      </c>
      <c r="AH24" s="6" t="inlineStr">
        <is>
          <t>2026-07-07</t>
        </is>
      </c>
      <c r="AI24" s="11" t="inlineStr">
        <is>
          <t>Decision maker: Proprietor; Contact: info@el-carajo.com. Input Instagram handle @elcarajomiami not found; active handle is @theelcarajo (~18K followers). Known for being tucked into a working Mobil gas station off US-1; open since 1981.</t>
        </is>
      </c>
    </row>
    <row r="25" ht="79" customHeight="1">
      <c r="A25" s="13" t="inlineStr">
        <is>
          <t>e73d0b6d-92ad-5e5b-9c54-f2a61257fec0</t>
        </is>
      </c>
      <c r="B25" s="13" t="inlineStr">
        <is>
          <t>4d32f895-875b-538f-b5a7-dd53a7f0fc7f</t>
        </is>
      </c>
      <c r="C25" s="13" t="inlineStr">
        <is>
          <t>ae760d8b-3bca-5a36-bc31-a602bad4b7d4</t>
        </is>
      </c>
      <c r="D25" s="13" t="inlineStr">
        <is>
          <t>dale-zine-design-district</t>
        </is>
      </c>
      <c r="E25" s="13" t="inlineStr">
        <is>
          <t>Dale Zine</t>
        </is>
      </c>
      <c r="F25" s="13" t="inlineStr">
        <is>
          <t>venue</t>
        </is>
      </c>
      <c r="G25" s="7" t="inlineStr">
        <is>
          <t>active</t>
        </is>
      </c>
      <c r="H25" s="13" t="inlineStr">
        <is>
          <t>hello@dalezine.com</t>
        </is>
      </c>
      <c r="I25" s="13" t="inlineStr">
        <is>
          <t>Dale Zine Shop</t>
        </is>
      </c>
      <c r="J25" s="13" t="inlineStr">
        <is>
          <t>50 NE 40th St, Miami, FL 33137</t>
        </is>
      </c>
      <c r="K25" s="13" t="inlineStr">
        <is>
          <t>Design District</t>
        </is>
      </c>
      <c r="L25" s="13" t="inlineStr">
        <is>
          <t>Miami</t>
        </is>
      </c>
      <c r="M25" s="14" t="n">
        <v>25.8132334</v>
      </c>
      <c r="N25" s="14" t="n">
        <v>-80.19449040000001</v>
      </c>
      <c r="O25" s="15" t="inlineStr">
        <is>
          <t>View on Map</t>
        </is>
      </c>
      <c r="P25" s="13" t="n"/>
      <c r="Q25" s="13" t="n"/>
      <c r="R25" s="13" t="inlineStr">
        <is>
          <t>Small Press, Big Energy</t>
        </is>
      </c>
      <c r="S25" s="13" t="inlineStr">
        <is>
          <t>art</t>
        </is>
      </c>
      <c r="T25" s="13" t="inlineStr">
        <is>
          <t>easy</t>
        </is>
      </c>
      <c r="U25" s="16" t="n">
        <v>50</v>
      </c>
      <c r="V25" s="16" t="n">
        <v>25</v>
      </c>
      <c r="W25" s="13" t="inlineStr">
        <is>
          <t>10–15 min</t>
        </is>
      </c>
      <c r="X25" s="17" t="inlineStr">
        <is>
          <t>Find Dale Zine's Design District home and browse until you find a zine you've never heard of. Photograph the cover.</t>
        </is>
      </c>
      <c r="Y25" s="15" t="inlineStr">
        <is>
          <t>Website</t>
        </is>
      </c>
      <c r="Z25" s="15" t="inlineStr">
        <is>
          <t>Google Reviews</t>
        </is>
      </c>
      <c r="AA25" s="15" t="inlineStr">
        <is>
          <t>Instagram</t>
        </is>
      </c>
      <c r="AB25" s="12" t="inlineStr">
        <is>
          <t>Needs Sourcing</t>
        </is>
      </c>
      <c r="AC25" s="12" t="inlineStr">
        <is>
          <t>Needs Sourcing</t>
        </is>
      </c>
      <c r="AD25" s="12" t="inlineStr">
        <is>
          <t>Needs Sourcing</t>
        </is>
      </c>
      <c r="AE25" s="7" t="inlineStr">
        <is>
          <t>active</t>
        </is>
      </c>
      <c r="AF25" s="7" t="inlineStr">
        <is>
          <t>verified</t>
        </is>
      </c>
      <c r="AG25" s="7" t="inlineStr">
        <is>
          <t>active</t>
        </is>
      </c>
      <c r="AH25" s="13" t="inlineStr">
        <is>
          <t>2026-07-07</t>
        </is>
      </c>
      <c r="AI25" s="17" t="inlineStr">
        <is>
          <t>Decision maker: Founder. Contact: hello@dalezine.com (unverified; press lists dalezine305@gmail.com as contact). IMPORTANT: Dale Zine relocated from its former Little River location (7395 NW Miami Pl) to the Miami Design District (50 NE 40th St) around January 2024. Input neighborhood 'Little River / Edge' is OUTDATED — current neighborhood is Design District.</t>
        </is>
      </c>
    </row>
    <row r="26" ht="64" customHeight="1">
      <c r="A26" s="6" t="inlineStr">
        <is>
          <t>26fad17b-865f-558e-a355-5c025c4ce02a</t>
        </is>
      </c>
      <c r="B26" s="6" t="inlineStr">
        <is>
          <t>defa0c13-d01c-5168-95ff-c256afb9a06b</t>
        </is>
      </c>
      <c r="C26" s="6" t="inlineStr">
        <is>
          <t>df3058d3-c3a4-5322-bdf2-2c5ed6bb64f8</t>
        </is>
      </c>
      <c r="D26" s="6" t="inlineStr">
        <is>
          <t>ica-miami</t>
        </is>
      </c>
      <c r="E26" s="6" t="inlineStr">
        <is>
          <t>Institute of Contemporary Art, Miami</t>
        </is>
      </c>
      <c r="F26" s="6" t="inlineStr">
        <is>
          <t>venue</t>
        </is>
      </c>
      <c r="G26" s="7" t="inlineStr">
        <is>
          <t>active</t>
        </is>
      </c>
      <c r="H26" s="6" t="inlineStr">
        <is>
          <t>hello@icamiami.org</t>
        </is>
      </c>
      <c r="I26" s="6" t="inlineStr">
        <is>
          <t>Institute of Contemporary Art, Miami</t>
        </is>
      </c>
      <c r="J26" s="6" t="inlineStr">
        <is>
          <t>61 NE 41st St, Miami, FL 33137</t>
        </is>
      </c>
      <c r="K26" s="6" t="inlineStr">
        <is>
          <t>Design District</t>
        </is>
      </c>
      <c r="L26" s="6" t="inlineStr">
        <is>
          <t>Miami</t>
        </is>
      </c>
      <c r="M26" s="8" t="n">
        <v>25.8143585</v>
      </c>
      <c r="N26" s="8" t="n">
        <v>-80.1942981</v>
      </c>
      <c r="O26" s="9" t="inlineStr">
        <is>
          <t>View on Map</t>
        </is>
      </c>
      <c r="P26" s="6" t="n"/>
      <c r="Q26" s="6" t="n"/>
      <c r="R26" s="6" t="inlineStr">
        <is>
          <t>Free Art, Big Ideas</t>
        </is>
      </c>
      <c r="S26" s="6" t="inlineStr">
        <is>
          <t>art</t>
        </is>
      </c>
      <c r="T26" s="6" t="inlineStr">
        <is>
          <t>medium</t>
        </is>
      </c>
      <c r="U26" s="10" t="n">
        <v>150</v>
      </c>
      <c r="V26" s="10" t="n">
        <v>75</v>
      </c>
      <c r="W26" s="6" t="inlineStr">
        <is>
          <t>15–20 min</t>
        </is>
      </c>
      <c r="X26" s="11" t="inlineStr">
        <is>
          <t>Walk in (it's free), explore a floor, and photograph the most wonderfully strange thing you find — where photos are allowed.</t>
        </is>
      </c>
      <c r="Y26" s="9" t="inlineStr">
        <is>
          <t>Website</t>
        </is>
      </c>
      <c r="Z26" s="9" t="inlineStr">
        <is>
          <t>Google Reviews</t>
        </is>
      </c>
      <c r="AA26" s="9" t="inlineStr">
        <is>
          <t>Instagram</t>
        </is>
      </c>
      <c r="AB26" s="12" t="inlineStr">
        <is>
          <t>Needs Sourcing</t>
        </is>
      </c>
      <c r="AC26" s="12" t="inlineStr">
        <is>
          <t>Needs Sourcing</t>
        </is>
      </c>
      <c r="AD26" s="12" t="inlineStr">
        <is>
          <t>Needs Sourcing</t>
        </is>
      </c>
      <c r="AE26" s="7" t="inlineStr">
        <is>
          <t>active</t>
        </is>
      </c>
      <c r="AF26" s="7" t="inlineStr">
        <is>
          <t>verified</t>
        </is>
      </c>
      <c r="AG26" s="7" t="inlineStr">
        <is>
          <t>active</t>
        </is>
      </c>
      <c r="AH26" s="6" t="inlineStr">
        <is>
          <t>2026-07-07</t>
        </is>
      </c>
      <c r="AI26" s="11" t="inlineStr">
        <is>
          <t>Decision maker: Public Programs Head; Contact: hello@icamiami.org. Free admission museum; recently acquired adjacent buildings for expansion. Coordinates not found from a reliable primary source (only general Design District area coords available), left null per verification rules.</t>
        </is>
      </c>
    </row>
    <row r="27" ht="79" customHeight="1">
      <c r="A27" s="13" t="inlineStr">
        <is>
          <t>3a01d0e9-5bce-5fc4-88aa-8252bebe58a2</t>
        </is>
      </c>
      <c r="B27" s="13" t="inlineStr">
        <is>
          <t>3451f07f-6eb2-559e-871d-14faae13b003</t>
        </is>
      </c>
      <c r="C27" s="13" t="inlineStr">
        <is>
          <t>208abc78-1331-5ded-a5d6-a252c9974594</t>
        </is>
      </c>
      <c r="D27" s="13" t="inlineStr">
        <is>
          <t>jungle-plaza-design-district</t>
        </is>
      </c>
      <c r="E27" s="13" t="inlineStr">
        <is>
          <t>Jungle Plaza</t>
        </is>
      </c>
      <c r="F27" s="13" t="inlineStr">
        <is>
          <t>venue</t>
        </is>
      </c>
      <c r="G27" s="7" t="inlineStr">
        <is>
          <t>active</t>
        </is>
      </c>
      <c r="H27" s="13" t="inlineStr">
        <is>
          <t>events@miamidesigndistrict.net</t>
        </is>
      </c>
      <c r="I27" s="13" t="inlineStr">
        <is>
          <t>Jungle Plaza</t>
        </is>
      </c>
      <c r="J27" s="13" t="inlineStr">
        <is>
          <t>3801 NE 1st Ave, Miami, FL 33137</t>
        </is>
      </c>
      <c r="K27" s="13" t="inlineStr">
        <is>
          <t>Design District</t>
        </is>
      </c>
      <c r="L27" s="13" t="inlineStr">
        <is>
          <t>Miami</t>
        </is>
      </c>
      <c r="M27" s="14" t="n">
        <v>25.811964</v>
      </c>
      <c r="N27" s="14" t="n">
        <v>-80.193276</v>
      </c>
      <c r="O27" s="15" t="inlineStr">
        <is>
          <t>View on Map</t>
        </is>
      </c>
      <c r="P27" s="13" t="n"/>
      <c r="Q27" s="13" t="n"/>
      <c r="R27" s="13" t="inlineStr">
        <is>
          <t>Through the Portal</t>
        </is>
      </c>
      <c r="S27" s="13" t="inlineStr">
        <is>
          <t>art</t>
        </is>
      </c>
      <c r="T27" s="13" t="inlineStr">
        <is>
          <t>easy</t>
        </is>
      </c>
      <c r="U27" s="16" t="n">
        <v>50</v>
      </c>
      <c r="V27" s="16" t="n">
        <v>25</v>
      </c>
      <c r="W27" s="13" t="inlineStr">
        <is>
          <t>5–10 min</t>
        </is>
      </c>
      <c r="X27" s="17" t="inlineStr">
        <is>
          <t>Find Criola's 'Interdimensional Portal' mural at Jungle Plaza and step through it — photographically speaking.</t>
        </is>
      </c>
      <c r="Y27" s="15" t="inlineStr">
        <is>
          <t>Website</t>
        </is>
      </c>
      <c r="Z27" s="15" t="inlineStr">
        <is>
          <t>Google Reviews</t>
        </is>
      </c>
      <c r="AA27" s="15" t="inlineStr">
        <is>
          <t>Instagram</t>
        </is>
      </c>
      <c r="AB27" s="12" t="inlineStr">
        <is>
          <t>Needs Sourcing</t>
        </is>
      </c>
      <c r="AC27" s="12" t="inlineStr">
        <is>
          <t>Needs Sourcing</t>
        </is>
      </c>
      <c r="AD27" s="12" t="inlineStr">
        <is>
          <t>Needs Sourcing</t>
        </is>
      </c>
      <c r="AE27" s="7" t="inlineStr">
        <is>
          <t>active</t>
        </is>
      </c>
      <c r="AF27" s="7" t="inlineStr">
        <is>
          <t>verified</t>
        </is>
      </c>
      <c r="AG27" s="7" t="inlineStr">
        <is>
          <t>active</t>
        </is>
      </c>
      <c r="AH27" s="13" t="inlineStr">
        <is>
          <t>2026-07-07</t>
        </is>
      </c>
      <c r="AI27" s="17" t="inlineStr">
        <is>
          <t>33,000 sq ft outdoor event space within Miami Design District (features the 'Interdimensional Portal' mural by Criola); managed by Design District/DACRA, not an independent business - uses the Design District's shared Instagram account. Input website normalized from miamidesigndistrict.net to the current miamidesigndistrict.com. Decision maker: DACRA Events Coordinator; contact: events@miamidesigndistrict.net.</t>
        </is>
      </c>
    </row>
    <row r="28" ht="94" customHeight="1">
      <c r="A28" s="6" t="inlineStr">
        <is>
          <t>8bcf25da-8073-5260-8722-2bf942b352fa</t>
        </is>
      </c>
      <c r="B28" s="6" t="inlineStr">
        <is>
          <t>7a74344f-5262-599b-8922-59a9fc7f8613</t>
        </is>
      </c>
      <c r="C28" s="6" t="inlineStr">
        <is>
          <t>7ccaef07-9288-5d31-8b40-0061bc3ddf10</t>
        </is>
      </c>
      <c r="D28" s="6" t="inlineStr">
        <is>
          <t>miami-design-district</t>
        </is>
      </c>
      <c r="E28" s="6" t="inlineStr">
        <is>
          <t>Miami Design District</t>
        </is>
      </c>
      <c r="F28" s="6" t="inlineStr">
        <is>
          <t>venue</t>
        </is>
      </c>
      <c r="G28" s="7" t="inlineStr">
        <is>
          <t>active</t>
        </is>
      </c>
      <c r="H28" s="6" t="inlineStr">
        <is>
          <t>info@miamidesigndistrict.net</t>
        </is>
      </c>
      <c r="I28" s="6" t="inlineStr">
        <is>
          <t>Miami Design District</t>
        </is>
      </c>
      <c r="J28" s="6" t="inlineStr">
        <is>
          <t>140 NE 39th St, Miami, FL 33137</t>
        </is>
      </c>
      <c r="K28" s="6" t="inlineStr">
        <is>
          <t>Design District</t>
        </is>
      </c>
      <c r="L28" s="6" t="inlineStr">
        <is>
          <t>Miami</t>
        </is>
      </c>
      <c r="M28" s="8" t="n">
        <v>25.8123753</v>
      </c>
      <c r="N28" s="8" t="n">
        <v>-80.19241150000001</v>
      </c>
      <c r="O28" s="9" t="inlineStr">
        <is>
          <t>View on Map</t>
        </is>
      </c>
      <c r="P28" s="6" t="n"/>
      <c r="Q28" s="6" t="n"/>
      <c r="R28" s="6" t="inlineStr">
        <is>
          <t>The Palm Court Puzzle</t>
        </is>
      </c>
      <c r="S28" s="6" t="inlineStr">
        <is>
          <t>shopping</t>
        </is>
      </c>
      <c r="T28" s="6" t="inlineStr">
        <is>
          <t>medium</t>
        </is>
      </c>
      <c r="U28" s="10" t="n">
        <v>150</v>
      </c>
      <c r="V28" s="10" t="n">
        <v>75</v>
      </c>
      <c r="W28" s="6" t="inlineStr">
        <is>
          <t>15–20 min</t>
        </is>
      </c>
      <c r="X28" s="11" t="inlineStr">
        <is>
          <t>Explore the district's public spaces until you find Palm Court. Photograph the storefront or installation that stopped you along the way.</t>
        </is>
      </c>
      <c r="Y28" s="9" t="inlineStr">
        <is>
          <t>Website</t>
        </is>
      </c>
      <c r="Z28" s="9" t="inlineStr">
        <is>
          <t>Google Reviews</t>
        </is>
      </c>
      <c r="AA28" s="9" t="inlineStr">
        <is>
          <t>Instagram</t>
        </is>
      </c>
      <c r="AB28" s="12" t="inlineStr">
        <is>
          <t>Needs Sourcing</t>
        </is>
      </c>
      <c r="AC28" s="12" t="inlineStr">
        <is>
          <t>Needs Sourcing</t>
        </is>
      </c>
      <c r="AD28" s="12" t="inlineStr">
        <is>
          <t>Needs Sourcing</t>
        </is>
      </c>
      <c r="AE28" s="7" t="inlineStr">
        <is>
          <t>active</t>
        </is>
      </c>
      <c r="AF28" s="7" t="inlineStr">
        <is>
          <t>verified</t>
        </is>
      </c>
      <c r="AG28" s="7" t="inlineStr">
        <is>
          <t>active</t>
        </is>
      </c>
      <c r="AH28" s="6" t="inlineStr">
        <is>
          <t>2026-07-07</t>
        </is>
      </c>
      <c r="AI28" s="11" t="inlineStr">
        <is>
          <t>Decision maker: DACRA Marketing Head; Contact: info@miamidesigndistrict.net. This is a neighborhood/shopping district (luxury retail, galleries, restaurants) developed/managed largely by DACRA and partners, not a single 'plaza' business - public gathering spaces (e.g. Palm Court) exist within it. Input domain 'miamidesigndistrict.net' also resolves to the same organization; the more consistently live site found was miamidesigndistrict.com. Coordinates from an Apple Maps place link with an embedded coordinate parameter.</t>
        </is>
      </c>
    </row>
    <row r="29" ht="79" customHeight="1">
      <c r="A29" s="13" t="inlineStr">
        <is>
          <t>77ea42de-fedb-5fbd-a6a1-a84449b9d87c</t>
        </is>
      </c>
      <c r="B29" s="13" t="inlineStr">
        <is>
          <t>f752f8f9-7f21-5823-acbd-9bc90363535f</t>
        </is>
      </c>
      <c r="C29" s="13" t="inlineStr">
        <is>
          <t>a8368acf-f984-5d35-bd3a-c283875d5706</t>
        </is>
      </c>
      <c r="D29" s="13" t="inlineStr">
        <is>
          <t>bayside-marketplace</t>
        </is>
      </c>
      <c r="E29" s="13" t="inlineStr">
        <is>
          <t>Bayside Marketplace</t>
        </is>
      </c>
      <c r="F29" s="13" t="inlineStr">
        <is>
          <t>venue</t>
        </is>
      </c>
      <c r="G29" s="7" t="inlineStr">
        <is>
          <t>active</t>
        </is>
      </c>
      <c r="H29" s="13" t="inlineStr">
        <is>
          <t>info@baysidemarketplace.com</t>
        </is>
      </c>
      <c r="I29" s="13" t="inlineStr">
        <is>
          <t>Bayside Marketplace</t>
        </is>
      </c>
      <c r="J29" s="13" t="inlineStr">
        <is>
          <t>401 Biscayne Blvd, Miami, FL 33132</t>
        </is>
      </c>
      <c r="K29" s="13" t="inlineStr">
        <is>
          <t>Downtown Miami</t>
        </is>
      </c>
      <c r="L29" s="13" t="inlineStr">
        <is>
          <t>Miami</t>
        </is>
      </c>
      <c r="M29" s="14" t="n">
        <v>25.7784792</v>
      </c>
      <c r="N29" s="14" t="n">
        <v>-80.1867682</v>
      </c>
      <c r="O29" s="15" t="inlineStr">
        <is>
          <t>View on Map</t>
        </is>
      </c>
      <c r="P29" s="13" t="n"/>
      <c r="Q29" s="13" t="n"/>
      <c r="R29" s="13" t="inlineStr">
        <is>
          <t>Where Downtown Meets the Bay</t>
        </is>
      </c>
      <c r="S29" s="13" t="inlineStr">
        <is>
          <t>shopping</t>
        </is>
      </c>
      <c r="T29" s="13" t="inlineStr">
        <is>
          <t>easy</t>
        </is>
      </c>
      <c r="U29" s="16" t="n">
        <v>50</v>
      </c>
      <c r="V29" s="16" t="n">
        <v>25</v>
      </c>
      <c r="W29" s="13" t="inlineStr">
        <is>
          <t>10–15 min</t>
        </is>
      </c>
      <c r="X29" s="17" t="inlineStr">
        <is>
          <t>Find the spot where Bayside meets the bay and capture the water, boats and skyline in one frame.</t>
        </is>
      </c>
      <c r="Y29" s="15" t="inlineStr">
        <is>
          <t>Website</t>
        </is>
      </c>
      <c r="Z29" s="15" t="inlineStr">
        <is>
          <t>Google Reviews</t>
        </is>
      </c>
      <c r="AA29" s="15" t="inlineStr">
        <is>
          <t>Instagram</t>
        </is>
      </c>
      <c r="AB29" s="12" t="inlineStr">
        <is>
          <t>Needs Sourcing</t>
        </is>
      </c>
      <c r="AC29" s="12" t="inlineStr">
        <is>
          <t>Needs Sourcing</t>
        </is>
      </c>
      <c r="AD29" s="12" t="inlineStr">
        <is>
          <t>Needs Sourcing</t>
        </is>
      </c>
      <c r="AE29" s="7" t="inlineStr">
        <is>
          <t>active</t>
        </is>
      </c>
      <c r="AF29" s="7" t="inlineStr">
        <is>
          <t>verified</t>
        </is>
      </c>
      <c r="AG29" s="7" t="inlineStr">
        <is>
          <t>active</t>
        </is>
      </c>
      <c r="AH29" s="13" t="inlineStr">
        <is>
          <t>2026-07-07</t>
        </is>
      </c>
      <c r="AI29" s="17" t="inlineStr">
        <is>
          <t>Decision maker: General Manager; Contact: info@baysidemarketplace.com. Waterfront shopping/entertainment marketplace, managed by Ashkenazy Acquisition Corp / GGP (Brookfield). Active as of July 2026. Note: long-time tenant Hard Rock Cafe (opened 1993) announced it will permanently close Aug 19, 2026 due to lease expiration - this is a tenant closure, not a closure of Bayside Marketplace itself.</t>
        </is>
      </c>
    </row>
    <row r="30" ht="94" customHeight="1">
      <c r="A30" s="6" t="inlineStr">
        <is>
          <t>8f832778-54cd-5d54-bad1-f820de54ea39</t>
        </is>
      </c>
      <c r="B30" s="6" t="inlineStr">
        <is>
          <t>49e25061-35a8-5ed1-9c65-8238bc62bbf4</t>
        </is>
      </c>
      <c r="C30" s="6" t="inlineStr">
        <is>
          <t>0e518098-b8c2-5a78-af0f-1b4a38cb4d45</t>
        </is>
      </c>
      <c r="D30" s="6" t="inlineStr">
        <is>
          <t>citizens-miamicentral</t>
        </is>
      </c>
      <c r="E30" s="6" t="inlineStr">
        <is>
          <t>Citizens MiamiCentral</t>
        </is>
      </c>
      <c r="F30" s="6" t="inlineStr">
        <is>
          <t>venue</t>
        </is>
      </c>
      <c r="G30" s="7" t="inlineStr">
        <is>
          <t>active</t>
        </is>
      </c>
      <c r="H30" s="6" t="inlineStr">
        <is>
          <t>info@gobrightline.com</t>
        </is>
      </c>
      <c r="I30" s="6" t="inlineStr">
        <is>
          <t>Citizens MiamiCentral</t>
        </is>
      </c>
      <c r="J30" s="6" t="inlineStr">
        <is>
          <t>600 NW 1st Ave, Miami, FL 33136</t>
        </is>
      </c>
      <c r="K30" s="6" t="inlineStr">
        <is>
          <t>Downtown Miami</t>
        </is>
      </c>
      <c r="L30" s="6" t="inlineStr">
        <is>
          <t>Miami</t>
        </is>
      </c>
      <c r="M30" s="8" t="n">
        <v>25.79118</v>
      </c>
      <c r="N30" s="8" t="n">
        <v>-80.1966257</v>
      </c>
      <c r="O30" s="9" t="inlineStr">
        <is>
          <t>View on Map</t>
        </is>
      </c>
      <c r="P30" s="6" t="n"/>
      <c r="Q30" s="6" t="n"/>
      <c r="R30" s="6" t="inlineStr">
        <is>
          <t>Eat Like a Commuter</t>
        </is>
      </c>
      <c r="S30" s="6" t="inlineStr">
        <is>
          <t>food</t>
        </is>
      </c>
      <c r="T30" s="6" t="inlineStr">
        <is>
          <t>easy</t>
        </is>
      </c>
      <c r="U30" s="10" t="n">
        <v>50</v>
      </c>
      <c r="V30" s="10" t="n">
        <v>25</v>
      </c>
      <c r="W30" s="6" t="inlineStr">
        <is>
          <t>10–15 min</t>
        </is>
      </c>
      <c r="X30" s="11" t="inlineStr">
        <is>
          <t>Find the food hall inside MiamiCentral station and photograph the scene — trains, counters and all.</t>
        </is>
      </c>
      <c r="Y30" s="9" t="inlineStr">
        <is>
          <t>Website</t>
        </is>
      </c>
      <c r="Z30" s="9" t="inlineStr">
        <is>
          <t>Google Reviews</t>
        </is>
      </c>
      <c r="AA30" s="9" t="inlineStr">
        <is>
          <t>Instagram</t>
        </is>
      </c>
      <c r="AB30" s="12" t="inlineStr">
        <is>
          <t>Needs Sourcing</t>
        </is>
      </c>
      <c r="AC30" s="12" t="inlineStr">
        <is>
          <t>Needs Sourcing</t>
        </is>
      </c>
      <c r="AD30" s="12" t="inlineStr">
        <is>
          <t>Needs Sourcing</t>
        </is>
      </c>
      <c r="AE30" s="7" t="inlineStr">
        <is>
          <t>active</t>
        </is>
      </c>
      <c r="AF30" s="7" t="inlineStr">
        <is>
          <t>verified</t>
        </is>
      </c>
      <c r="AG30" s="7" t="inlineStr">
        <is>
          <t>active</t>
        </is>
      </c>
      <c r="AH30" s="6" t="inlineStr">
        <is>
          <t>2026-07-07</t>
        </is>
      </c>
      <c r="AI30" s="11" t="inlineStr">
        <is>
          <t>Food hall inside Brightline's MiamiCentral station. Had a period of closure/rebranding (was 'Central Fare', briefly dark, relaunched as 'Central Fare Food Collective' June 2025, then rebranded again to Citizens MiamiCentral under C3/Sam Nazarian partnership). Active as of mid-2026 per Yelp reviews and Brightline press releases. Input website 'brightlinestations.com' does not appear to be the correct live domain; using gobrightline.com / miamicentral.com instead. Decision maker: Transit Hub Director; contact: info@gobrightline.com.</t>
        </is>
      </c>
    </row>
    <row r="31" ht="34" customHeight="1">
      <c r="A31" s="13" t="inlineStr">
        <is>
          <t>fc2b6028-5ab4-5b0d-897b-b2a91baadbf9</t>
        </is>
      </c>
      <c r="B31" s="13" t="inlineStr">
        <is>
          <t>316c048c-ce1c-53a7-a3d3-59ccaa896e5e</t>
        </is>
      </c>
      <c r="C31" s="13" t="inlineStr">
        <is>
          <t>856c13bf-067d-51ad-b3d0-90a47254fead</t>
        </is>
      </c>
      <c r="D31" s="13" t="inlineStr">
        <is>
          <t>e11even-miami</t>
        </is>
      </c>
      <c r="E31" s="13" t="inlineStr">
        <is>
          <t>E11EVEN Miami</t>
        </is>
      </c>
      <c r="F31" s="13" t="inlineStr">
        <is>
          <t>venue</t>
        </is>
      </c>
      <c r="G31" s="7" t="inlineStr">
        <is>
          <t>active</t>
        </is>
      </c>
      <c r="H31" s="13" t="inlineStr">
        <is>
          <t>info@11miami.com</t>
        </is>
      </c>
      <c r="I31" s="13" t="inlineStr">
        <is>
          <t>E11EVEN Miami</t>
        </is>
      </c>
      <c r="J31" s="13" t="inlineStr">
        <is>
          <t>29 NE 11th St, Miami, FL 33132</t>
        </is>
      </c>
      <c r="K31" s="13" t="inlineStr">
        <is>
          <t>Downtown Miami</t>
        </is>
      </c>
      <c r="L31" s="13" t="inlineStr">
        <is>
          <t>Miami</t>
        </is>
      </c>
      <c r="M31" s="14" t="n">
        <v>25.7849579</v>
      </c>
      <c r="N31" s="14" t="n">
        <v>-80.1935969</v>
      </c>
      <c r="O31" s="15" t="inlineStr">
        <is>
          <t>View on Map</t>
        </is>
      </c>
      <c r="P31" s="13" t="inlineStr">
        <is>
          <t>Open 24 hours</t>
        </is>
      </c>
      <c r="Q31" s="13" t="inlineStr">
        <is>
          <t>21+ only</t>
        </is>
      </c>
      <c r="R31" s="13" t="inlineStr">
        <is>
          <t>The Club That Never Sleeps</t>
        </is>
      </c>
      <c r="S31" s="13" t="inlineStr">
        <is>
          <t>nightlife</t>
        </is>
      </c>
      <c r="T31" s="13" t="inlineStr">
        <is>
          <t>medium</t>
        </is>
      </c>
      <c r="U31" s="16" t="n">
        <v>150</v>
      </c>
      <c r="V31" s="16" t="n">
        <v>75</v>
      </c>
      <c r="W31" s="13" t="inlineStr">
        <is>
          <t>10–20 min</t>
        </is>
      </c>
      <c r="X31" s="17" t="inlineStr">
        <is>
          <t>Make it to E11EVEN — any hour works, it never closes — and capture proof you found Miami's 24-hour ultraclub.</t>
        </is>
      </c>
      <c r="Y31" s="15" t="inlineStr">
        <is>
          <t>Website</t>
        </is>
      </c>
      <c r="Z31" s="15" t="inlineStr">
        <is>
          <t>Google Reviews</t>
        </is>
      </c>
      <c r="AA31" s="15" t="inlineStr">
        <is>
          <t>Instagram</t>
        </is>
      </c>
      <c r="AB31" s="12" t="inlineStr">
        <is>
          <t>Needs Sourcing</t>
        </is>
      </c>
      <c r="AC31" s="12" t="inlineStr">
        <is>
          <t>Needs Sourcing</t>
        </is>
      </c>
      <c r="AD31" s="12" t="inlineStr">
        <is>
          <t>Needs Sourcing</t>
        </is>
      </c>
      <c r="AE31" s="7" t="inlineStr">
        <is>
          <t>active</t>
        </is>
      </c>
      <c r="AF31" s="7" t="inlineStr">
        <is>
          <t>verified</t>
        </is>
      </c>
      <c r="AG31" s="7" t="inlineStr">
        <is>
          <t>active</t>
        </is>
      </c>
      <c r="AH31" s="13" t="inlineStr">
        <is>
          <t>2026-07-07</t>
        </is>
      </c>
      <c r="AI31" s="17" t="inlineStr">
        <is>
          <t>Decision maker: Marketing VP; Contact: info@11miami.com. 24-hour ultraclub, 21+ only, ranked among top clubs globally.</t>
        </is>
      </c>
    </row>
    <row r="32" ht="49" customHeight="1">
      <c r="A32" s="6" t="inlineStr">
        <is>
          <t>a3b596af-e36d-5eb9-a46b-c93873345ed0</t>
        </is>
      </c>
      <c r="B32" s="6" t="inlineStr">
        <is>
          <t>1f2ec53a-2e1b-58cd-b2aa-1cd178687999</t>
        </is>
      </c>
      <c r="C32" s="6" t="inlineStr">
        <is>
          <t>a116f926-5af7-523b-a23c-7b0131e64f83</t>
        </is>
      </c>
      <c r="D32" s="6" t="inlineStr">
        <is>
          <t>government-center-station</t>
        </is>
      </c>
      <c r="E32" s="6" t="inlineStr">
        <is>
          <t>Government Center Station</t>
        </is>
      </c>
      <c r="F32" s="6" t="inlineStr">
        <is>
          <t>venue</t>
        </is>
      </c>
      <c r="G32" s="7" t="inlineStr">
        <is>
          <t>active</t>
        </is>
      </c>
      <c r="H32" s="6" t="inlineStr">
        <is>
          <t>transit@miamidade.gov</t>
        </is>
      </c>
      <c r="I32" s="6" t="inlineStr">
        <is>
          <t>Government Center Station</t>
        </is>
      </c>
      <c r="J32" s="6" t="inlineStr">
        <is>
          <t>101 NW 1st St, Miami, FL 33128</t>
        </is>
      </c>
      <c r="K32" s="6" t="inlineStr">
        <is>
          <t>Downtown Miami</t>
        </is>
      </c>
      <c r="L32" s="6" t="inlineStr">
        <is>
          <t>Miami</t>
        </is>
      </c>
      <c r="M32" s="8" t="n">
        <v>25.7757584</v>
      </c>
      <c r="N32" s="8" t="n">
        <v>-80.1960776</v>
      </c>
      <c r="O32" s="9" t="inlineStr">
        <is>
          <t>View on Map</t>
        </is>
      </c>
      <c r="P32" s="6" t="n"/>
      <c r="Q32" s="6" t="n"/>
      <c r="R32" s="6" t="inlineStr">
        <is>
          <t>The Crossroads</t>
        </is>
      </c>
      <c r="S32" s="6" t="inlineStr">
        <is>
          <t>culture</t>
        </is>
      </c>
      <c r="T32" s="6" t="inlineStr">
        <is>
          <t>easy</t>
        </is>
      </c>
      <c r="U32" s="10" t="n">
        <v>50</v>
      </c>
      <c r="V32" s="10" t="n">
        <v>25</v>
      </c>
      <c r="W32" s="6" t="inlineStr">
        <is>
          <t>5–10 min</t>
        </is>
      </c>
      <c r="X32" s="11" t="inlineStr">
        <is>
          <t>Find where the trains come and go at Government Center and capture one in motion.</t>
        </is>
      </c>
      <c r="Y32" s="9" t="inlineStr">
        <is>
          <t>Website</t>
        </is>
      </c>
      <c r="Z32" s="9" t="inlineStr">
        <is>
          <t>Google Reviews</t>
        </is>
      </c>
      <c r="AA32" s="9" t="inlineStr">
        <is>
          <t>Instagram</t>
        </is>
      </c>
      <c r="AB32" s="12" t="inlineStr">
        <is>
          <t>Needs Sourcing</t>
        </is>
      </c>
      <c r="AC32" s="12" t="inlineStr">
        <is>
          <t>Needs Sourcing</t>
        </is>
      </c>
      <c r="AD32" s="12" t="inlineStr">
        <is>
          <t>Needs Sourcing</t>
        </is>
      </c>
      <c r="AE32" s="7" t="inlineStr">
        <is>
          <t>active</t>
        </is>
      </c>
      <c r="AF32" s="7" t="inlineStr">
        <is>
          <t>verified</t>
        </is>
      </c>
      <c r="AG32" s="7" t="inlineStr">
        <is>
          <t>active</t>
        </is>
      </c>
      <c r="AH32" s="6" t="inlineStr">
        <is>
          <t>2026-07-07</t>
        </is>
      </c>
      <c r="AI32" s="11" t="inlineStr">
        <is>
          <t>Intermodal Miami-Dade Transit hub (Metrorail + Metromover + Metrobus) in the Government Center district, opened 1984. Public transit facility, not a commercial venue. Decision maker: MDT Operations; contact: transit@miamidade.gov.</t>
        </is>
      </c>
    </row>
    <row r="33" ht="64" customHeight="1">
      <c r="A33" s="13" t="inlineStr">
        <is>
          <t>192fe224-7d8b-5c25-a708-4cfb241f0272</t>
        </is>
      </c>
      <c r="B33" s="13" t="inlineStr">
        <is>
          <t>6d4f6842-8525-5831-92de-fdb4727ed574</t>
        </is>
      </c>
      <c r="C33" s="13" t="inlineStr">
        <is>
          <t>5e937cc3-c9da-52d6-9aa4-833b48cd20be</t>
        </is>
      </c>
      <c r="D33" s="13" t="inlineStr">
        <is>
          <t>kaseya-center-plaza</t>
        </is>
      </c>
      <c r="E33" s="13" t="inlineStr">
        <is>
          <t>Kaseya Center (AT&amp;T East Plaza)</t>
        </is>
      </c>
      <c r="F33" s="13" t="inlineStr">
        <is>
          <t>venue</t>
        </is>
      </c>
      <c r="G33" s="7" t="inlineStr">
        <is>
          <t>active</t>
        </is>
      </c>
      <c r="H33" s="13" t="inlineStr">
        <is>
          <t>info@kaseyacenter.com</t>
        </is>
      </c>
      <c r="I33" s="13" t="inlineStr">
        <is>
          <t>Kaseya Center</t>
        </is>
      </c>
      <c r="J33" s="13" t="inlineStr">
        <is>
          <t>601 Biscayne Blvd, Miami, FL 33132</t>
        </is>
      </c>
      <c r="K33" s="13" t="inlineStr">
        <is>
          <t>Downtown Miami</t>
        </is>
      </c>
      <c r="L33" s="13" t="inlineStr">
        <is>
          <t>Miami</t>
        </is>
      </c>
      <c r="M33" s="14" t="n">
        <v>25.7813595</v>
      </c>
      <c r="N33" s="14" t="n">
        <v>-80.1879435</v>
      </c>
      <c r="O33" s="15" t="inlineStr">
        <is>
          <t>View on Map</t>
        </is>
      </c>
      <c r="P33" s="13" t="n"/>
      <c r="Q33" s="13" t="n"/>
      <c r="R33" s="13" t="inlineStr">
        <is>
          <t>Home Court</t>
        </is>
      </c>
      <c r="S33" s="13" t="inlineStr">
        <is>
          <t>culture</t>
        </is>
      </c>
      <c r="T33" s="13" t="inlineStr">
        <is>
          <t>easy</t>
        </is>
      </c>
      <c r="U33" s="16" t="n">
        <v>50</v>
      </c>
      <c r="V33" s="16" t="n">
        <v>25</v>
      </c>
      <c r="W33" s="13" t="inlineStr">
        <is>
          <t>5–10 min</t>
        </is>
      </c>
      <c r="X33" s="17" t="inlineStr">
        <is>
          <t>Find the East Plaza at Kaseya Center and capture the arena where the Heat play — game day or not.</t>
        </is>
      </c>
      <c r="Y33" s="15" t="inlineStr">
        <is>
          <t>Website</t>
        </is>
      </c>
      <c r="Z33" s="15" t="inlineStr">
        <is>
          <t>Google Reviews</t>
        </is>
      </c>
      <c r="AA33" s="15" t="inlineStr">
        <is>
          <t>Instagram</t>
        </is>
      </c>
      <c r="AB33" s="12" t="inlineStr">
        <is>
          <t>Needs Sourcing</t>
        </is>
      </c>
      <c r="AC33" s="12" t="inlineStr">
        <is>
          <t>Needs Sourcing</t>
        </is>
      </c>
      <c r="AD33" s="12" t="inlineStr">
        <is>
          <t>Needs Sourcing</t>
        </is>
      </c>
      <c r="AE33" s="7" t="inlineStr">
        <is>
          <t>active</t>
        </is>
      </c>
      <c r="AF33" s="7" t="inlineStr">
        <is>
          <t>verified</t>
        </is>
      </c>
      <c r="AG33" s="7" t="inlineStr">
        <is>
          <t>active</t>
        </is>
      </c>
      <c r="AH33" s="13" t="inlineStr">
        <is>
          <t>2026-07-07</t>
        </is>
      </c>
      <c r="AI33" s="17" t="inlineStr">
        <is>
          <t>"Kaseya Center Plaza" refers to the AT&amp;T East Plaza, a 23,000 sq ft outdoor gathering space at Kaseya Center (Miami Heat arena, formerly FTX Arena/American Airlines Arena). Not an independent business - part of the arena complex. Decision maker: Event Ops Lead; contact: info@kaseyacenter.com.</t>
        </is>
      </c>
    </row>
    <row r="34" ht="109" customHeight="1">
      <c r="A34" s="6" t="inlineStr">
        <is>
          <t>cc824584-6599-556e-a42d-2fb4328d3ec7</t>
        </is>
      </c>
      <c r="B34" s="6" t="inlineStr">
        <is>
          <t>d858150a-df59-589b-a51b-a8910c61237d</t>
        </is>
      </c>
      <c r="C34" s="6" t="inlineStr">
        <is>
          <t>7b017967-7fa7-5e64-b5b4-74f32f680a17</t>
        </is>
      </c>
      <c r="D34" s="6" t="inlineStr">
        <is>
          <t>lost-boy-dry-goods</t>
        </is>
      </c>
      <c r="E34" s="6" t="inlineStr">
        <is>
          <t>Lost Boy &amp; Co.</t>
        </is>
      </c>
      <c r="F34" s="6" t="inlineStr">
        <is>
          <t>venue</t>
        </is>
      </c>
      <c r="G34" s="7" t="inlineStr">
        <is>
          <t>active</t>
        </is>
      </c>
      <c r="H34" s="6" t="inlineStr">
        <is>
          <t>info@lostboyandco.com</t>
        </is>
      </c>
      <c r="I34" s="6" t="inlineStr">
        <is>
          <t>Lost Boy Dry Goods</t>
        </is>
      </c>
      <c r="J34" s="6" t="inlineStr">
        <is>
          <t>157 E Flagler St, Miami, FL 33131</t>
        </is>
      </c>
      <c r="K34" s="6" t="inlineStr">
        <is>
          <t>Downtown Miami</t>
        </is>
      </c>
      <c r="L34" s="6" t="inlineStr">
        <is>
          <t>Miami</t>
        </is>
      </c>
      <c r="M34" s="8" t="n">
        <v>25.7743673</v>
      </c>
      <c r="N34" s="8" t="n">
        <v>-80.1907341</v>
      </c>
      <c r="O34" s="9" t="inlineStr">
        <is>
          <t>View on Map</t>
        </is>
      </c>
      <c r="P34" s="6" t="n"/>
      <c r="Q34" s="6" t="n"/>
      <c r="R34" s="6" t="inlineStr">
        <is>
          <t>Get Lost Downtown</t>
        </is>
      </c>
      <c r="S34" s="6" t="inlineStr">
        <is>
          <t>nightlife</t>
        </is>
      </c>
      <c r="T34" s="6" t="inlineStr">
        <is>
          <t>medium</t>
        </is>
      </c>
      <c r="U34" s="10" t="n">
        <v>150</v>
      </c>
      <c r="V34" s="10" t="n">
        <v>75</v>
      </c>
      <c r="W34" s="6" t="inlineStr">
        <is>
          <t>10–15 min</t>
        </is>
      </c>
      <c r="X34" s="11" t="inlineStr">
        <is>
          <t>Find Lost Boy Dry Goods on E Flagler Street and photograph the most un-pub-like detail of this very English pub.</t>
        </is>
      </c>
      <c r="Y34" s="9" t="inlineStr">
        <is>
          <t>Website</t>
        </is>
      </c>
      <c r="Z34" s="9" t="inlineStr">
        <is>
          <t>Google Reviews</t>
        </is>
      </c>
      <c r="AA34" s="9" t="inlineStr">
        <is>
          <t>Instagram</t>
        </is>
      </c>
      <c r="AB34" s="12" t="inlineStr">
        <is>
          <t>Needs Sourcing</t>
        </is>
      </c>
      <c r="AC34" s="12" t="inlineStr">
        <is>
          <t>Needs Sourcing</t>
        </is>
      </c>
      <c r="AD34" s="12" t="inlineStr">
        <is>
          <t>Needs Sourcing</t>
        </is>
      </c>
      <c r="AE34" s="7" t="inlineStr">
        <is>
          <t>active</t>
        </is>
      </c>
      <c r="AF34" s="7" t="inlineStr">
        <is>
          <t>verified</t>
        </is>
      </c>
      <c r="AG34" s="7" t="inlineStr">
        <is>
          <t>active</t>
        </is>
      </c>
      <c r="AH34" s="6" t="inlineStr">
        <is>
          <t>2026-07-07</t>
        </is>
      </c>
      <c r="AI34" s="11" t="inlineStr">
        <is>
          <t>Decision maker: Operator. Contact: info@lostboyandco.com. 'Lost Boy &amp; Co.' is the parent hospitality group (founded by Chris Hudnall and Randy Alonso, official group site wearealllost.com); the actual English-pub-style bar in Downtown Miami is 'Lost Boy Dry Goods' at 157 E Flagler St (opened 2018, in the Alfred I. duPont Building). Input website 'lostboyandco.com' and Instagram handle '@lostboymiami' did not resolve to a live matching page -- corrected here to lostboydrygoods.com and @lostboydrygoods, the venue's actual live site/handle. Group is actively expanding as of July 2026 (public investment round announced).</t>
        </is>
      </c>
    </row>
    <row r="35" ht="49" customHeight="1">
      <c r="A35" s="13" t="inlineStr">
        <is>
          <t>8c2d780a-5ad9-5e8d-b764-47902ba01d59</t>
        </is>
      </c>
      <c r="B35" s="13" t="inlineStr">
        <is>
          <t>71b22ea1-5f61-5b45-aade-19e00c48e84f</t>
        </is>
      </c>
      <c r="C35" s="13" t="inlineStr">
        <is>
          <t>a0e58b54-b8ed-5125-a4e8-387091622757</t>
        </is>
      </c>
      <c r="D35" s="13" t="inlineStr">
        <is>
          <t>over-under-downtown</t>
        </is>
      </c>
      <c r="E35" s="13" t="inlineStr">
        <is>
          <t>Over Under</t>
        </is>
      </c>
      <c r="F35" s="13" t="inlineStr">
        <is>
          <t>venue</t>
        </is>
      </c>
      <c r="G35" s="7" t="inlineStr">
        <is>
          <t>active</t>
        </is>
      </c>
      <c r="H35" s="13" t="inlineStr">
        <is>
          <t>hello@overundermiami.com</t>
        </is>
      </c>
      <c r="I35" s="13" t="inlineStr">
        <is>
          <t>Over Under</t>
        </is>
      </c>
      <c r="J35" s="13" t="inlineStr">
        <is>
          <t>151 E Flagler St, Miami, FL 33131</t>
        </is>
      </c>
      <c r="K35" s="13" t="inlineStr">
        <is>
          <t>Downtown Miami</t>
        </is>
      </c>
      <c r="L35" s="13" t="inlineStr">
        <is>
          <t>Miami</t>
        </is>
      </c>
      <c r="M35" s="14" t="n">
        <v>25.774428</v>
      </c>
      <c r="N35" s="14" t="n">
        <v>-80.19088499999999</v>
      </c>
      <c r="O35" s="15" t="inlineStr">
        <is>
          <t>View on Map</t>
        </is>
      </c>
      <c r="P35" s="13" t="n"/>
      <c r="Q35" s="13" t="n"/>
      <c r="R35" s="13" t="inlineStr">
        <is>
          <t>Flagler Street Revival</t>
        </is>
      </c>
      <c r="S35" s="13" t="inlineStr">
        <is>
          <t>nightlife</t>
        </is>
      </c>
      <c r="T35" s="13" t="inlineStr">
        <is>
          <t>medium</t>
        </is>
      </c>
      <c r="U35" s="16" t="n">
        <v>150</v>
      </c>
      <c r="V35" s="16" t="n">
        <v>75</v>
      </c>
      <c r="W35" s="13" t="inlineStr">
        <is>
          <t>10–15 min</t>
        </is>
      </c>
      <c r="X35" s="17" t="inlineStr">
        <is>
          <t>Find Over Under on E Flagler Street and capture where the historic building meets the modern bar.</t>
        </is>
      </c>
      <c r="Y35" s="15" t="inlineStr">
        <is>
          <t>Website</t>
        </is>
      </c>
      <c r="Z35" s="15" t="inlineStr">
        <is>
          <t>Google Reviews</t>
        </is>
      </c>
      <c r="AA35" s="15" t="inlineStr">
        <is>
          <t>Instagram</t>
        </is>
      </c>
      <c r="AB35" s="12" t="inlineStr">
        <is>
          <t>Needs Sourcing</t>
        </is>
      </c>
      <c r="AC35" s="12" t="inlineStr">
        <is>
          <t>Needs Sourcing</t>
        </is>
      </c>
      <c r="AD35" s="12" t="inlineStr">
        <is>
          <t>Needs Sourcing</t>
        </is>
      </c>
      <c r="AE35" s="7" t="inlineStr">
        <is>
          <t>active</t>
        </is>
      </c>
      <c r="AF35" s="7" t="inlineStr">
        <is>
          <t>verified</t>
        </is>
      </c>
      <c r="AG35" s="7" t="inlineStr">
        <is>
          <t>active</t>
        </is>
      </c>
      <c r="AH35" s="13" t="inlineStr">
        <is>
          <t>2026-07-07</t>
        </is>
      </c>
      <c r="AI35" s="17" t="inlineStr">
        <is>
          <t>Decision maker: Head Chef / Owner. Contact: hello@overundermiami.com. Cocktail bar and gastropub in the historic Alfred I. duPont Building, Downtown Miami. Confirmed active with current hours via multiple 2026-updated review sites.</t>
        </is>
      </c>
    </row>
    <row r="36" ht="34" customHeight="1">
      <c r="A36" s="6" t="inlineStr">
        <is>
          <t>b66e6390-cdbf-5b91-a613-def6cb716e0d</t>
        </is>
      </c>
      <c r="B36" s="6" t="inlineStr">
        <is>
          <t>be92a4e5-2635-5364-8ada-a5e99d0fdd0a</t>
        </is>
      </c>
      <c r="C36" s="6" t="inlineStr">
        <is>
          <t>499e378f-6144-5a1a-878d-b9c8193b3544</t>
        </is>
      </c>
      <c r="D36" s="6" t="inlineStr">
        <is>
          <t>perez-art-museum-miami</t>
        </is>
      </c>
      <c r="E36" s="6" t="inlineStr">
        <is>
          <t>Pérez Art Museum Miami</t>
        </is>
      </c>
      <c r="F36" s="6" t="inlineStr">
        <is>
          <t>venue</t>
        </is>
      </c>
      <c r="G36" s="7" t="inlineStr">
        <is>
          <t>active</t>
        </is>
      </c>
      <c r="H36" s="6" t="inlineStr">
        <is>
          <t>info@pamm.org</t>
        </is>
      </c>
      <c r="I36" s="6" t="inlineStr">
        <is>
          <t>Pérez Art Museum Miami</t>
        </is>
      </c>
      <c r="J36" s="6" t="inlineStr">
        <is>
          <t>1103 Biscayne Blvd, Miami, FL 33132</t>
        </is>
      </c>
      <c r="K36" s="6" t="inlineStr">
        <is>
          <t>Downtown Miami</t>
        </is>
      </c>
      <c r="L36" s="6" t="inlineStr">
        <is>
          <t>Miami</t>
        </is>
      </c>
      <c r="M36" s="8" t="n">
        <v>25.7859809</v>
      </c>
      <c r="N36" s="8" t="n">
        <v>-80.18626930000001</v>
      </c>
      <c r="O36" s="9" t="inlineStr">
        <is>
          <t>View on Map</t>
        </is>
      </c>
      <c r="P36" s="6" t="n"/>
      <c r="Q36" s="6" t="n"/>
      <c r="R36" s="6" t="inlineStr">
        <is>
          <t>Art on the Bay</t>
        </is>
      </c>
      <c r="S36" s="6" t="inlineStr">
        <is>
          <t>art</t>
        </is>
      </c>
      <c r="T36" s="6" t="inlineStr">
        <is>
          <t>medium</t>
        </is>
      </c>
      <c r="U36" s="10" t="n">
        <v>150</v>
      </c>
      <c r="V36" s="10" t="n">
        <v>75</v>
      </c>
      <c r="W36" s="6" t="inlineStr">
        <is>
          <t>15–20 min</t>
        </is>
      </c>
      <c r="X36" s="11" t="inlineStr">
        <is>
          <t>Find the one artwork inside PAMM you'd hang at home — then find the bay view and decide which one wins.</t>
        </is>
      </c>
      <c r="Y36" s="9" t="inlineStr">
        <is>
          <t>Website</t>
        </is>
      </c>
      <c r="Z36" s="9" t="inlineStr">
        <is>
          <t>Google Reviews</t>
        </is>
      </c>
      <c r="AA36" s="9" t="inlineStr">
        <is>
          <t>Instagram</t>
        </is>
      </c>
      <c r="AB36" s="12" t="inlineStr">
        <is>
          <t>Needs Sourcing</t>
        </is>
      </c>
      <c r="AC36" s="12" t="inlineStr">
        <is>
          <t>Needs Sourcing</t>
        </is>
      </c>
      <c r="AD36" s="12" t="inlineStr">
        <is>
          <t>Needs Sourcing</t>
        </is>
      </c>
      <c r="AE36" s="7" t="inlineStr">
        <is>
          <t>active</t>
        </is>
      </c>
      <c r="AF36" s="7" t="inlineStr">
        <is>
          <t>verified</t>
        </is>
      </c>
      <c r="AG36" s="7" t="inlineStr">
        <is>
          <t>active</t>
        </is>
      </c>
      <c r="AH36" s="6" t="inlineStr">
        <is>
          <t>2026-07-07</t>
        </is>
      </c>
      <c r="AI36" s="11" t="inlineStr">
        <is>
          <t>Decision maker: Visitor Exp. Director; Contact: info@pamm.org. Located in Maurice A. Ferré Park, Downtown Miami, adjacent to Kaseya Center.</t>
        </is>
      </c>
    </row>
    <row r="37" ht="64" customHeight="1">
      <c r="A37" s="13" t="inlineStr">
        <is>
          <t>3479422e-08ef-5673-83d2-557027a01877</t>
        </is>
      </c>
      <c r="B37" s="13" t="inlineStr">
        <is>
          <t>4f8b3159-5218-59b2-b342-11bc9abc7359</t>
        </is>
      </c>
      <c r="C37" s="13" t="inlineStr">
        <is>
          <t>a2bdfb29-2728-54f6-8142-de371f679c40</t>
        </is>
      </c>
      <c r="D37" s="13" t="inlineStr">
        <is>
          <t>maurice-ferre-park</t>
        </is>
      </c>
      <c r="E37" s="13" t="inlineStr">
        <is>
          <t>Maurice A. Ferré Park</t>
        </is>
      </c>
      <c r="F37" s="13" t="inlineStr">
        <is>
          <t>venue</t>
        </is>
      </c>
      <c r="G37" s="7" t="inlineStr">
        <is>
          <t>active</t>
        </is>
      </c>
      <c r="H37" s="13" t="inlineStr">
        <is>
          <t>parks@miamigov.com</t>
        </is>
      </c>
      <c r="I37" s="13" t="inlineStr">
        <is>
          <t>Maurice A. Ferré Park</t>
        </is>
      </c>
      <c r="J37" s="13" t="inlineStr">
        <is>
          <t>1075 Biscayne Blvd, Miami, FL 33132</t>
        </is>
      </c>
      <c r="K37" s="13" t="inlineStr">
        <is>
          <t>Downtown Miami / Arts &amp; Entertainment District</t>
        </is>
      </c>
      <c r="L37" s="13" t="inlineStr">
        <is>
          <t>Miami</t>
        </is>
      </c>
      <c r="M37" s="14" t="n">
        <v>25.7839</v>
      </c>
      <c r="N37" s="14" t="n">
        <v>-80.18689999999999</v>
      </c>
      <c r="O37" s="15" t="inlineStr">
        <is>
          <t>View on Map</t>
        </is>
      </c>
      <c r="P37" s="13" t="n"/>
      <c r="Q37" s="13" t="n"/>
      <c r="R37" s="13" t="inlineStr">
        <is>
          <t>The Museum's Front Yard</t>
        </is>
      </c>
      <c r="S37" s="13" t="inlineStr">
        <is>
          <t>outdoors</t>
        </is>
      </c>
      <c r="T37" s="13" t="inlineStr">
        <is>
          <t>easy</t>
        </is>
      </c>
      <c r="U37" s="16" t="n">
        <v>50</v>
      </c>
      <c r="V37" s="16" t="n">
        <v>25</v>
      </c>
      <c r="W37" s="13" t="inlineStr">
        <is>
          <t>10–15 min</t>
        </is>
      </c>
      <c r="X37" s="17" t="inlineStr">
        <is>
          <t>Walk the park's waterfront and frame one photo with the bay on one side and the museums on the other.</t>
        </is>
      </c>
      <c r="Y37" s="15" t="inlineStr">
        <is>
          <t>Website</t>
        </is>
      </c>
      <c r="Z37" s="15" t="inlineStr">
        <is>
          <t>Google Reviews</t>
        </is>
      </c>
      <c r="AA37" s="15" t="inlineStr">
        <is>
          <t>Instagram</t>
        </is>
      </c>
      <c r="AB37" s="12" t="inlineStr">
        <is>
          <t>Needs Sourcing</t>
        </is>
      </c>
      <c r="AC37" s="12" t="inlineStr">
        <is>
          <t>Needs Sourcing</t>
        </is>
      </c>
      <c r="AD37" s="12" t="inlineStr">
        <is>
          <t>Needs Sourcing</t>
        </is>
      </c>
      <c r="AE37" s="7" t="inlineStr">
        <is>
          <t>active</t>
        </is>
      </c>
      <c r="AF37" s="7" t="inlineStr">
        <is>
          <t>verified</t>
        </is>
      </c>
      <c r="AG37" s="7" t="inlineStr">
        <is>
          <t>active</t>
        </is>
      </c>
      <c r="AH37" s="13" t="inlineStr">
        <is>
          <t>2026-07-07</t>
        </is>
      </c>
      <c r="AI37" s="17" t="inlineStr">
        <is>
          <t>30-acre downtown waterfront park, formerly named 'Museum Park', renamed Maurice A. Ferré Park in 2019 in honor of the former Miami mayor. Home to Perez Art Museum Miami and Frost Science Museum. Public space, City of Miami Parks Dept operated. Decision maker: City Park Management; contact: parks@miamigov.com.</t>
        </is>
      </c>
    </row>
    <row r="38" ht="49" customHeight="1">
      <c r="A38" s="6" t="inlineStr">
        <is>
          <t>bf8555e0-2c49-5b14-bba9-362bd12273e8</t>
        </is>
      </c>
      <c r="B38" s="6" t="inlineStr">
        <is>
          <t>89561c5f-7ce2-5d91-8999-50cc258c7d08</t>
        </is>
      </c>
      <c r="C38" s="6" t="inlineStr">
        <is>
          <t>042a4a79-469b-55b5-b06a-ec5d012aa167</t>
        </is>
      </c>
      <c r="D38" s="6" t="inlineStr">
        <is>
          <t>the-corner-downtown</t>
        </is>
      </c>
      <c r="E38" s="6" t="inlineStr">
        <is>
          <t>The Corner</t>
        </is>
      </c>
      <c r="F38" s="6" t="inlineStr">
        <is>
          <t>venue</t>
        </is>
      </c>
      <c r="G38" s="7" t="inlineStr">
        <is>
          <t>active</t>
        </is>
      </c>
      <c r="H38" s="6" t="inlineStr">
        <is>
          <t>info@thecornermiami.com</t>
        </is>
      </c>
      <c r="I38" s="6" t="inlineStr">
        <is>
          <t>The Corner</t>
        </is>
      </c>
      <c r="J38" s="6" t="inlineStr">
        <is>
          <t>1035 N Miami Ave #101, Miami, FL 33136</t>
        </is>
      </c>
      <c r="K38" s="6" t="inlineStr">
        <is>
          <t>Downtown Miami / Park West</t>
        </is>
      </c>
      <c r="L38" s="6" t="inlineStr">
        <is>
          <t>Miami</t>
        </is>
      </c>
      <c r="M38" s="8" t="n">
        <v>25.784656</v>
      </c>
      <c r="N38" s="8" t="n">
        <v>-80.19389700000001</v>
      </c>
      <c r="O38" s="9" t="inlineStr">
        <is>
          <t>View on Map</t>
        </is>
      </c>
      <c r="P38" s="6" t="n"/>
      <c r="Q38" s="6" t="n"/>
      <c r="R38" s="6" t="inlineStr">
        <is>
          <t>Meet Me at The Corner</t>
        </is>
      </c>
      <c r="S38" s="6" t="inlineStr">
        <is>
          <t>nightlife</t>
        </is>
      </c>
      <c r="T38" s="6" t="inlineStr">
        <is>
          <t>medium</t>
        </is>
      </c>
      <c r="U38" s="10" t="n">
        <v>150</v>
      </c>
      <c r="V38" s="10" t="n">
        <v>75</v>
      </c>
      <c r="W38" s="6" t="inlineStr">
        <is>
          <t>10–15 min</t>
        </is>
      </c>
      <c r="X38" s="11" t="inlineStr">
        <is>
          <t>Post up at The Corner and capture proof you found it — the sign, the room, or your spot at the bar.</t>
        </is>
      </c>
      <c r="Y38" s="9" t="inlineStr">
        <is>
          <t>Website</t>
        </is>
      </c>
      <c r="Z38" s="9" t="inlineStr">
        <is>
          <t>Google Reviews</t>
        </is>
      </c>
      <c r="AA38" s="9" t="inlineStr">
        <is>
          <t>Instagram</t>
        </is>
      </c>
      <c r="AB38" s="12" t="inlineStr">
        <is>
          <t>Needs Sourcing</t>
        </is>
      </c>
      <c r="AC38" s="12" t="inlineStr">
        <is>
          <t>Needs Sourcing</t>
        </is>
      </c>
      <c r="AD38" s="12" t="inlineStr">
        <is>
          <t>Needs Sourcing</t>
        </is>
      </c>
      <c r="AE38" s="7" t="inlineStr">
        <is>
          <t>active</t>
        </is>
      </c>
      <c r="AF38" s="7" t="inlineStr">
        <is>
          <t>verified</t>
        </is>
      </c>
      <c r="AG38" s="7" t="inlineStr">
        <is>
          <t>active</t>
        </is>
      </c>
      <c r="AH38" s="6" t="inlineStr">
        <is>
          <t>2026-07-07</t>
        </is>
      </c>
      <c r="AI38" s="11" t="inlineStr">
        <is>
          <t>Decision maker: Bar Manager; Contact: info@thecornermiami.com. Shares its building/address (1035 N Miami Ave) with the now-closed All Day cafe (rank 17) — the two were run by the same ownership group as day/night concepts in the same space.</t>
        </is>
      </c>
    </row>
    <row r="39" ht="64" customHeight="1">
      <c r="A39" s="13" t="inlineStr">
        <is>
          <t>966b0064-6c61-58b2-8e49-73807184982d</t>
        </is>
      </c>
      <c r="B39" s="13" t="inlineStr">
        <is>
          <t>4a76b5e7-7fc8-5485-90c4-403a796770c7</t>
        </is>
      </c>
      <c r="C39" s="13" t="inlineStr">
        <is>
          <t>17fd3975-dc00-523d-be6e-6eee84d5714d</t>
        </is>
      </c>
      <c r="D39" s="13" t="inlineStr">
        <is>
          <t>vice-city-bean-edgewater</t>
        </is>
      </c>
      <c r="E39" s="13" t="inlineStr">
        <is>
          <t>Vice City Bean</t>
        </is>
      </c>
      <c r="F39" s="13" t="inlineStr">
        <is>
          <t>venue</t>
        </is>
      </c>
      <c r="G39" s="7" t="inlineStr">
        <is>
          <t>active</t>
        </is>
      </c>
      <c r="H39" s="13" t="inlineStr">
        <is>
          <t>hello@vicecitybean.com</t>
        </is>
      </c>
      <c r="I39" s="13" t="inlineStr">
        <is>
          <t>Vice City Bean</t>
        </is>
      </c>
      <c r="J39" s="13" t="inlineStr">
        <is>
          <t>1657 N Miami Ave, Unit C, Miami, FL 33136</t>
        </is>
      </c>
      <c r="K39" s="13" t="inlineStr">
        <is>
          <t>Edgewater</t>
        </is>
      </c>
      <c r="L39" s="13" t="inlineStr">
        <is>
          <t>Miami</t>
        </is>
      </c>
      <c r="M39" s="14" t="n">
        <v>25.791406</v>
      </c>
      <c r="N39" s="14" t="n">
        <v>-80.19430199999999</v>
      </c>
      <c r="O39" s="15" t="inlineStr">
        <is>
          <t>View on Map</t>
        </is>
      </c>
      <c r="P39" s="13" t="n"/>
      <c r="Q39" s="13" t="n"/>
      <c r="R39" s="13" t="inlineStr">
        <is>
          <t>Flagship of Vice City</t>
        </is>
      </c>
      <c r="S39" s="13" t="inlineStr">
        <is>
          <t>food</t>
        </is>
      </c>
      <c r="T39" s="13" t="inlineStr">
        <is>
          <t>easy</t>
        </is>
      </c>
      <c r="U39" s="16" t="n">
        <v>50</v>
      </c>
      <c r="V39" s="16" t="n">
        <v>25</v>
      </c>
      <c r="W39" s="13" t="inlineStr">
        <is>
          <t>5–10 min</t>
        </is>
      </c>
      <c r="X39" s="17" t="inlineStr">
        <is>
          <t>Find Vice City Bean's flagship on N Miami Ave and claim the seat with the best people-watching.</t>
        </is>
      </c>
      <c r="Y39" s="15" t="inlineStr">
        <is>
          <t>Website</t>
        </is>
      </c>
      <c r="Z39" s="15" t="inlineStr">
        <is>
          <t>Google Reviews</t>
        </is>
      </c>
      <c r="AA39" s="15" t="inlineStr">
        <is>
          <t>Instagram</t>
        </is>
      </c>
      <c r="AB39" s="12" t="inlineStr">
        <is>
          <t>Needs Sourcing</t>
        </is>
      </c>
      <c r="AC39" s="12" t="inlineStr">
        <is>
          <t>Needs Sourcing</t>
        </is>
      </c>
      <c r="AD39" s="12" t="inlineStr">
        <is>
          <t>Needs Sourcing</t>
        </is>
      </c>
      <c r="AE39" s="7" t="inlineStr">
        <is>
          <t>active</t>
        </is>
      </c>
      <c r="AF39" s="7" t="inlineStr">
        <is>
          <t>verified</t>
        </is>
      </c>
      <c r="AG39" s="7" t="inlineStr">
        <is>
          <t>active</t>
        </is>
      </c>
      <c r="AH39" s="13" t="inlineStr">
        <is>
          <t>2026-07-07</t>
        </is>
      </c>
      <c r="AI39" s="17" t="inlineStr">
        <is>
          <t>Decision maker: Owner; Contact: hello@vicecitybean.com. Input neighborhood 'Downtown/Edgewater' normalized to Edgewater; often described as the 'Arts &amp; Entertainment District' between Downtown and Wynwood. Business operates 3 locations (this flagship, Brickell, and The Citadel food hall) - flagship confirmed active, Yelp updated April 2026.</t>
        </is>
      </c>
    </row>
    <row r="40" ht="64" customHeight="1">
      <c r="A40" s="6" t="inlineStr">
        <is>
          <t>57574160-f082-5ff5-87ea-33846c15f93e</t>
        </is>
      </c>
      <c r="B40" s="6" t="inlineStr">
        <is>
          <t>86ec6766-9a9e-50b5-b1d5-0b40d0be79f8</t>
        </is>
      </c>
      <c r="C40" s="6" t="inlineStr">
        <is>
          <t>d25ce94f-cf6b-5252-af8c-6e8e5526f06a</t>
        </is>
      </c>
      <c r="D40" s="6" t="inlineStr">
        <is>
          <t>naomis-garden-little-haiti</t>
        </is>
      </c>
      <c r="E40" s="6" t="inlineStr">
        <is>
          <t>Naomi's Garden Restaurant &amp; Lounge</t>
        </is>
      </c>
      <c r="F40" s="6" t="inlineStr">
        <is>
          <t>venue</t>
        </is>
      </c>
      <c r="G40" s="7" t="inlineStr">
        <is>
          <t>active</t>
        </is>
      </c>
      <c r="H40" s="6" t="inlineStr">
        <is>
          <t>naomisgardencafe@gmail.com</t>
        </is>
      </c>
      <c r="I40" s="6" t="inlineStr">
        <is>
          <t>Naomi's Garden Restaurant &amp; Lounge</t>
        </is>
      </c>
      <c r="J40" s="6" t="inlineStr">
        <is>
          <t>650 NW 71st St, Miami, FL 33150</t>
        </is>
      </c>
      <c r="K40" s="6" t="inlineStr">
        <is>
          <t>Little Haiti</t>
        </is>
      </c>
      <c r="L40" s="6" t="inlineStr">
        <is>
          <t>Miami</t>
        </is>
      </c>
      <c r="M40" s="8" t="n">
        <v>25.8395301</v>
      </c>
      <c r="N40" s="8" t="n">
        <v>-80.2079248</v>
      </c>
      <c r="O40" s="9" t="inlineStr">
        <is>
          <t>View on Map</t>
        </is>
      </c>
      <c r="P40" s="6" t="n"/>
      <c r="Q40" s="6" t="n"/>
      <c r="R40" s="6" t="inlineStr">
        <is>
          <t>The Garden of Little Haiti</t>
        </is>
      </c>
      <c r="S40" s="6" t="inlineStr">
        <is>
          <t>food</t>
        </is>
      </c>
      <c r="T40" s="6" t="inlineStr">
        <is>
          <t>easy</t>
        </is>
      </c>
      <c r="U40" s="10" t="n">
        <v>50</v>
      </c>
      <c r="V40" s="10" t="n">
        <v>25</v>
      </c>
      <c r="W40" s="6" t="inlineStr">
        <is>
          <t>10–15 min</t>
        </is>
      </c>
      <c r="X40" s="11" t="inlineStr">
        <is>
          <t>Find Naomi's Garden on NW 71st Street and photograph whatever earns the 'garden' in the name.</t>
        </is>
      </c>
      <c r="Y40" s="9" t="inlineStr">
        <is>
          <t>Website</t>
        </is>
      </c>
      <c r="Z40" s="9" t="inlineStr">
        <is>
          <t>Google Reviews</t>
        </is>
      </c>
      <c r="AA40" s="9" t="inlineStr">
        <is>
          <t>Instagram</t>
        </is>
      </c>
      <c r="AB40" s="12" t="inlineStr">
        <is>
          <t>Needs Sourcing</t>
        </is>
      </c>
      <c r="AC40" s="12" t="inlineStr">
        <is>
          <t>Needs Sourcing</t>
        </is>
      </c>
      <c r="AD40" s="12" t="inlineStr">
        <is>
          <t>Needs Sourcing</t>
        </is>
      </c>
      <c r="AE40" s="7" t="inlineStr">
        <is>
          <t>active</t>
        </is>
      </c>
      <c r="AF40" s="7" t="inlineStr">
        <is>
          <t>verified</t>
        </is>
      </c>
      <c r="AG40" s="7" t="inlineStr">
        <is>
          <t>active</t>
        </is>
      </c>
      <c r="AH40" s="6" t="inlineStr">
        <is>
          <t>2026-07-07</t>
        </is>
      </c>
      <c r="AI40" s="11" t="inlineStr">
        <is>
          <t>Decision maker: Owner. Contact: naomisgardencafe@gmail.com (unverified). Input website 'naomisgarden.com' does not appear to resolve to this business; the verified official site is naomismiami.com. A second location later opened in Sunset Harbour, Miami Beach (1755 Alton Rd), but the original/primary location referenced here is Little Haiti.</t>
        </is>
      </c>
    </row>
    <row r="41" ht="79" customHeight="1">
      <c r="A41" s="13" t="inlineStr">
        <is>
          <t>8569454a-0457-5805-8b85-997b42155ed2</t>
        </is>
      </c>
      <c r="B41" s="13" t="inlineStr">
        <is>
          <t>8b802b8f-454c-59e7-8397-8e52b8028121</t>
        </is>
      </c>
      <c r="C41" s="13" t="inlineStr">
        <is>
          <t>8b5e8dfd-4d3a-5e78-b0db-a018c6ba2068</t>
        </is>
      </c>
      <c r="D41" s="13" t="inlineStr">
        <is>
          <t>sweat-records-little-haiti</t>
        </is>
      </c>
      <c r="E41" s="13" t="inlineStr">
        <is>
          <t>Sweat Records</t>
        </is>
      </c>
      <c r="F41" s="13" t="inlineStr">
        <is>
          <t>venue</t>
        </is>
      </c>
      <c r="G41" s="7" t="inlineStr">
        <is>
          <t>active</t>
        </is>
      </c>
      <c r="H41" s="13" t="inlineStr">
        <is>
          <t>info@sweatrecordsmiami.com</t>
        </is>
      </c>
      <c r="I41" s="13" t="inlineStr">
        <is>
          <t>Sweat Records</t>
        </is>
      </c>
      <c r="J41" s="13" t="inlineStr">
        <is>
          <t>5505 NE 2nd Ave, Miami, FL 33137</t>
        </is>
      </c>
      <c r="K41" s="13" t="inlineStr">
        <is>
          <t>Little Haiti / Little River</t>
        </is>
      </c>
      <c r="L41" s="13" t="inlineStr">
        <is>
          <t>Miami</t>
        </is>
      </c>
      <c r="M41" s="14" t="n">
        <v>25.8263434</v>
      </c>
      <c r="N41" s="14" t="n">
        <v>-80.1917894</v>
      </c>
      <c r="O41" s="15" t="inlineStr">
        <is>
          <t>View on Map</t>
        </is>
      </c>
      <c r="P41" s="13" t="n"/>
      <c r="Q41" s="13" t="n"/>
      <c r="R41" s="13" t="inlineStr">
        <is>
          <t>Crate Digger</t>
        </is>
      </c>
      <c r="S41" s="13" t="inlineStr">
        <is>
          <t>culture</t>
        </is>
      </c>
      <c r="T41" s="13" t="inlineStr">
        <is>
          <t>medium</t>
        </is>
      </c>
      <c r="U41" s="16" t="n">
        <v>150</v>
      </c>
      <c r="V41" s="16" t="n">
        <v>75</v>
      </c>
      <c r="W41" s="13" t="inlineStr">
        <is>
          <t>10–15 min</t>
        </is>
      </c>
      <c r="X41" s="17" t="inlineStr">
        <is>
          <t>Dig through the crates and find one record older than Sweat Records itself (2005). Photograph your find.</t>
        </is>
      </c>
      <c r="Y41" s="15" t="inlineStr">
        <is>
          <t>Website</t>
        </is>
      </c>
      <c r="Z41" s="15" t="inlineStr">
        <is>
          <t>Google Reviews</t>
        </is>
      </c>
      <c r="AA41" s="15" t="inlineStr">
        <is>
          <t>Instagram</t>
        </is>
      </c>
      <c r="AB41" s="12" t="inlineStr">
        <is>
          <t>Needs Sourcing</t>
        </is>
      </c>
      <c r="AC41" s="12" t="inlineStr">
        <is>
          <t>Needs Sourcing</t>
        </is>
      </c>
      <c r="AD41" s="12" t="inlineStr">
        <is>
          <t>Needs Sourcing</t>
        </is>
      </c>
      <c r="AE41" s="7" t="inlineStr">
        <is>
          <t>active</t>
        </is>
      </c>
      <c r="AF41" s="7" t="inlineStr">
        <is>
          <t>verified</t>
        </is>
      </c>
      <c r="AG41" s="7" t="inlineStr">
        <is>
          <t>active</t>
        </is>
      </c>
      <c r="AH41" s="13" t="inlineStr">
        <is>
          <t>2026-07-07</t>
        </is>
      </c>
      <c r="AI41" s="17" t="inlineStr">
        <is>
          <t>Decision maker: Founder (Lolo); Contact: info@sweatrecordsmiami.com. Independent record store founded 2005 by Lolo Reskin, next to Churchill's Pub. Celebrated 20th anniversary in March 2025 (WLRN, Axios, Miami New Times coverage) -- clearly still active and thriving, no closure signals found; owner has discussed hoping to move to a bigger space in the future but no relocation confirmed yet.</t>
        </is>
      </c>
    </row>
    <row r="42" ht="49" customHeight="1">
      <c r="A42" s="6" t="inlineStr">
        <is>
          <t>e31072cf-e83b-5c36-8254-55a69d2bd500</t>
        </is>
      </c>
      <c r="B42" s="6" t="inlineStr">
        <is>
          <t>e2f43f10-1882-5b1c-a43a-453ba03fcdc7</t>
        </is>
      </c>
      <c r="C42" s="6" t="inlineStr">
        <is>
          <t>d7487d41-d93b-5ef5-ba8a-381866d6b5a0</t>
        </is>
      </c>
      <c r="D42" s="6" t="inlineStr">
        <is>
          <t>ball-and-chain-little-havana</t>
        </is>
      </c>
      <c r="E42" s="6" t="inlineStr">
        <is>
          <t>Ball &amp; Chain</t>
        </is>
      </c>
      <c r="F42" s="6" t="inlineStr">
        <is>
          <t>venue</t>
        </is>
      </c>
      <c r="G42" s="7" t="inlineStr">
        <is>
          <t>active</t>
        </is>
      </c>
      <c r="H42" s="6" t="inlineStr">
        <is>
          <t>info@ballandchainmiami.com</t>
        </is>
      </c>
      <c r="I42" s="6" t="inlineStr">
        <is>
          <t>Ball &amp; Chain</t>
        </is>
      </c>
      <c r="J42" s="6" t="inlineStr">
        <is>
          <t>1513 SW 8th St, Miami, FL 33135</t>
        </is>
      </c>
      <c r="K42" s="6" t="inlineStr">
        <is>
          <t>Little Havana</t>
        </is>
      </c>
      <c r="L42" s="6" t="inlineStr">
        <is>
          <t>Miami</t>
        </is>
      </c>
      <c r="M42" s="8" t="n">
        <v>25.7658068</v>
      </c>
      <c r="N42" s="8" t="n">
        <v>-80.2197761</v>
      </c>
      <c r="O42" s="9" t="inlineStr">
        <is>
          <t>View on Map</t>
        </is>
      </c>
      <c r="P42" s="6" t="n"/>
      <c r="Q42" s="6" t="n"/>
      <c r="R42" s="6" t="inlineStr">
        <is>
          <t>Calle Ocho After Dark</t>
        </is>
      </c>
      <c r="S42" s="6" t="inlineStr">
        <is>
          <t>nightlife</t>
        </is>
      </c>
      <c r="T42" s="6" t="inlineStr">
        <is>
          <t>medium</t>
        </is>
      </c>
      <c r="U42" s="10" t="n">
        <v>150</v>
      </c>
      <c r="V42" s="10" t="n">
        <v>75</v>
      </c>
      <c r="W42" s="6" t="inlineStr">
        <is>
          <t>15–20 min</t>
        </is>
      </c>
      <c r="X42" s="11" t="inlineStr">
        <is>
          <t>Find Ball &amp; Chain on SW 8th Street and capture the moment that feels most alive.</t>
        </is>
      </c>
      <c r="Y42" s="9" t="inlineStr">
        <is>
          <t>Website</t>
        </is>
      </c>
      <c r="Z42" s="9" t="inlineStr">
        <is>
          <t>Google Reviews</t>
        </is>
      </c>
      <c r="AA42" s="9" t="inlineStr">
        <is>
          <t>Instagram</t>
        </is>
      </c>
      <c r="AB42" s="12" t="inlineStr">
        <is>
          <t>Needs Sourcing</t>
        </is>
      </c>
      <c r="AC42" s="12" t="inlineStr">
        <is>
          <t>Needs Sourcing</t>
        </is>
      </c>
      <c r="AD42" s="12" t="inlineStr">
        <is>
          <t>Needs Sourcing</t>
        </is>
      </c>
      <c r="AE42" s="7" t="inlineStr">
        <is>
          <t>active</t>
        </is>
      </c>
      <c r="AF42" s="7" t="inlineStr">
        <is>
          <t>verified</t>
        </is>
      </c>
      <c r="AG42" s="7" t="inlineStr">
        <is>
          <t>active</t>
        </is>
      </c>
      <c r="AH42" s="6" t="inlineStr">
        <is>
          <t>2026-07-07</t>
        </is>
      </c>
      <c r="AI42" s="11" t="inlineStr">
        <is>
          <t>Decision maker: Proprietor; Contact: info@ballandchainmiami.com. Neighborhood normalized to 'Little Havana' (input said 'Little Havana / Edge' — 'Edge' not a recognized standard Miami neighborhood name for this address). Coordinates from Apple Maps listing snippet.</t>
        </is>
      </c>
    </row>
    <row r="43" ht="79" customHeight="1">
      <c r="A43" s="13" t="inlineStr">
        <is>
          <t>8126cef6-7957-58f4-8dc1-c1cf747fcc8e</t>
        </is>
      </c>
      <c r="B43" s="13" t="inlineStr">
        <is>
          <t>628b1edc-8119-5196-9d22-4465d7b944c6</t>
        </is>
      </c>
      <c r="C43" s="13" t="inlineStr">
        <is>
          <t>f1b3973c-4035-58cb-a3b2-6a1326842801</t>
        </is>
      </c>
      <c r="D43" s="13" t="inlineStr">
        <is>
          <t>imperial-moto-little-river</t>
        </is>
      </c>
      <c r="E43" s="13" t="inlineStr">
        <is>
          <t>Imperial Moto</t>
        </is>
      </c>
      <c r="F43" s="13" t="inlineStr">
        <is>
          <t>venue</t>
        </is>
      </c>
      <c r="G43" s="7" t="inlineStr">
        <is>
          <t>active</t>
        </is>
      </c>
      <c r="H43" s="13" t="inlineStr">
        <is>
          <t>hello@imperialmoto.com</t>
        </is>
      </c>
      <c r="I43" s="13" t="inlineStr">
        <is>
          <t>Imperial Moto Cafe - Little River</t>
        </is>
      </c>
      <c r="J43" s="13" t="inlineStr">
        <is>
          <t>7299 NW 2nd Ave, Miami, FL 33150</t>
        </is>
      </c>
      <c r="K43" s="13" t="inlineStr">
        <is>
          <t>Little River</t>
        </is>
      </c>
      <c r="L43" s="13" t="inlineStr">
        <is>
          <t>Miami</t>
        </is>
      </c>
      <c r="M43" s="14" t="n">
        <v>25.8421983</v>
      </c>
      <c r="N43" s="14" t="n">
        <v>-80.2005557</v>
      </c>
      <c r="O43" s="15" t="inlineStr">
        <is>
          <t>View on Map</t>
        </is>
      </c>
      <c r="P43" s="13" t="n"/>
      <c r="Q43" s="13" t="n"/>
      <c r="R43" s="13" t="inlineStr">
        <is>
          <t>Full Throttle Coffee</t>
        </is>
      </c>
      <c r="S43" s="13" t="inlineStr">
        <is>
          <t>food</t>
        </is>
      </c>
      <c r="T43" s="13" t="inlineStr">
        <is>
          <t>easy</t>
        </is>
      </c>
      <c r="U43" s="16" t="n">
        <v>50</v>
      </c>
      <c r="V43" s="16" t="n">
        <v>25</v>
      </c>
      <c r="W43" s="13" t="inlineStr">
        <is>
          <t>5–10 min</t>
        </is>
      </c>
      <c r="X43" s="17" t="inlineStr">
        <is>
          <t>Find Imperial Moto's Little River headquarters and photograph the most motorcycle thing you can find.</t>
        </is>
      </c>
      <c r="Y43" s="15" t="inlineStr">
        <is>
          <t>Website</t>
        </is>
      </c>
      <c r="Z43" s="15" t="inlineStr">
        <is>
          <t>Google Reviews</t>
        </is>
      </c>
      <c r="AA43" s="15" t="inlineStr">
        <is>
          <t>Instagram</t>
        </is>
      </c>
      <c r="AB43" s="12" t="inlineStr">
        <is>
          <t>Needs Sourcing</t>
        </is>
      </c>
      <c r="AC43" s="12" t="inlineStr">
        <is>
          <t>Needs Sourcing</t>
        </is>
      </c>
      <c r="AD43" s="12" t="inlineStr">
        <is>
          <t>Needs Sourcing</t>
        </is>
      </c>
      <c r="AE43" s="7" t="inlineStr">
        <is>
          <t>active</t>
        </is>
      </c>
      <c r="AF43" s="7" t="inlineStr">
        <is>
          <t>verified</t>
        </is>
      </c>
      <c r="AG43" s="7" t="inlineStr">
        <is>
          <t>active</t>
        </is>
      </c>
      <c r="AH43" s="13" t="inlineStr">
        <is>
          <t>2026-07-07</t>
        </is>
      </c>
      <c r="AI43" s="17" t="inlineStr">
        <is>
          <t>Decision maker: Founder; Contact: hello@imperialmoto.com. CORRECTION: input listed neighborhood as 'Wynwood' but the flagship/headquarters location is in Little River, not Wynwood (confirmed via imperialmoto.com/pages/little-river and Yelp/Timeout listings). Brand has grown to ~4 locations (Little River HQ, Aventura Mall, Oakland Park, St. Barths). Yelp updated June 2026, confirmed active.</t>
        </is>
      </c>
    </row>
    <row r="44" ht="94" customHeight="1">
      <c r="A44" s="6" t="inlineStr">
        <is>
          <t>57d5ab07-74a4-5c75-a84d-dbe548785c99</t>
        </is>
      </c>
      <c r="B44" s="6" t="inlineStr">
        <is>
          <t>fcefd477-6443-56d6-b6d4-4289c667c4cd</t>
        </is>
      </c>
      <c r="C44" s="6" t="inlineStr">
        <is>
          <t>eae8f3ad-d463-5c4a-95a1-4bdb0aca1474</t>
        </is>
      </c>
      <c r="D44" s="6" t="inlineStr">
        <is>
          <t>plant-the-future-little-river</t>
        </is>
      </c>
      <c r="E44" s="6" t="inlineStr">
        <is>
          <t>Plant the Future</t>
        </is>
      </c>
      <c r="F44" s="6" t="inlineStr">
        <is>
          <t>venue</t>
        </is>
      </c>
      <c r="G44" s="7" t="inlineStr">
        <is>
          <t>active</t>
        </is>
      </c>
      <c r="H44" s="6" t="inlineStr">
        <is>
          <t>info@plantthefuture.com</t>
        </is>
      </c>
      <c r="I44" s="6" t="inlineStr">
        <is>
          <t>Plant the Future</t>
        </is>
      </c>
      <c r="J44" s="6" t="inlineStr">
        <is>
          <t>8484 NE 2nd Ave, Miami, FL 33138</t>
        </is>
      </c>
      <c r="K44" s="6" t="inlineStr">
        <is>
          <t>Little River</t>
        </is>
      </c>
      <c r="L44" s="6" t="inlineStr">
        <is>
          <t>Miami</t>
        </is>
      </c>
      <c r="M44" s="8" t="n">
        <v>25.8531665</v>
      </c>
      <c r="N44" s="8" t="n">
        <v>-80.1933545</v>
      </c>
      <c r="O44" s="9" t="inlineStr">
        <is>
          <t>View on Map</t>
        </is>
      </c>
      <c r="P44" s="6" t="n"/>
      <c r="Q44" s="6" t="n"/>
      <c r="R44" s="6" t="inlineStr">
        <is>
          <t>The Gas Station That Grew</t>
        </is>
      </c>
      <c r="S44" s="6" t="inlineStr">
        <is>
          <t>art</t>
        </is>
      </c>
      <c r="T44" s="6" t="inlineStr">
        <is>
          <t>medium</t>
        </is>
      </c>
      <c r="U44" s="10" t="n">
        <v>150</v>
      </c>
      <c r="V44" s="10" t="n">
        <v>75</v>
      </c>
      <c r="W44" s="6" t="inlineStr">
        <is>
          <t>10–15 min</t>
        </is>
      </c>
      <c r="X44" s="11" t="inlineStr">
        <is>
          <t>Find the converted gas station on NE 2nd Ave and photograph the spot where art and plants blur together completely.</t>
        </is>
      </c>
      <c r="Y44" s="9" t="inlineStr">
        <is>
          <t>Website</t>
        </is>
      </c>
      <c r="Z44" s="9" t="inlineStr">
        <is>
          <t>Google Reviews</t>
        </is>
      </c>
      <c r="AA44" s="9" t="inlineStr">
        <is>
          <t>Instagram</t>
        </is>
      </c>
      <c r="AB44" s="12" t="inlineStr">
        <is>
          <t>Needs Sourcing</t>
        </is>
      </c>
      <c r="AC44" s="12" t="inlineStr">
        <is>
          <t>Needs Sourcing</t>
        </is>
      </c>
      <c r="AD44" s="12" t="inlineStr">
        <is>
          <t>Needs Sourcing</t>
        </is>
      </c>
      <c r="AE44" s="7" t="inlineStr">
        <is>
          <t>active</t>
        </is>
      </c>
      <c r="AF44" s="7" t="inlineStr">
        <is>
          <t>verified</t>
        </is>
      </c>
      <c r="AG44" s="7" t="inlineStr">
        <is>
          <t>active</t>
        </is>
      </c>
      <c r="AH44" s="6" t="inlineStr">
        <is>
          <t>2026-07-07</t>
        </is>
      </c>
      <c r="AI44" s="11" t="inlineStr">
        <is>
          <t>Decision maker: Creative Dir. (Paloma). Contact: info@plantthefuture.com. Founded 2008 by Paloma Teppa (industrial designer/artist) in Wynwood, later relocated to Little River art district on the banks of the Little River (converted 1960s gas station). Biophilic art/design studio, gallery, and cafe. Input neighborhood 'Design District / Edge' is imprecise — the verified current neighborhood is Little River (adjacent to, but distinct from, the Design District).</t>
        </is>
      </c>
    </row>
    <row r="45" ht="64" customHeight="1">
      <c r="A45" s="13" t="inlineStr">
        <is>
          <t>e80da8a5-6380-505e-9246-d6fa2f2af0a4</t>
        </is>
      </c>
      <c r="B45" s="13" t="inlineStr">
        <is>
          <t>11b2fa14-eb93-5809-b4ef-73be47f08d91</t>
        </is>
      </c>
      <c r="C45" s="13" t="inlineStr">
        <is>
          <t>ab1faa46-f085-5e74-96b1-13091b98a1e6</t>
        </is>
      </c>
      <c r="D45" s="13" t="inlineStr">
        <is>
          <t>lagniappe-house-midtown</t>
        </is>
      </c>
      <c r="E45" s="13" t="inlineStr">
        <is>
          <t>Lagniappe House</t>
        </is>
      </c>
      <c r="F45" s="13" t="inlineStr">
        <is>
          <t>venue</t>
        </is>
      </c>
      <c r="G45" s="7" t="inlineStr">
        <is>
          <t>active</t>
        </is>
      </c>
      <c r="H45" s="13" t="inlineStr">
        <is>
          <t>info@lagniappehouse.com</t>
        </is>
      </c>
      <c r="I45" s="13" t="inlineStr">
        <is>
          <t>Lagniappe</t>
        </is>
      </c>
      <c r="J45" s="13" t="inlineStr">
        <is>
          <t>3425 NE 2nd Ave, Miami, FL 33137</t>
        </is>
      </c>
      <c r="K45" s="13" t="inlineStr">
        <is>
          <t>Midtown / Wynwood-Edgewater</t>
        </is>
      </c>
      <c r="L45" s="13" t="inlineStr">
        <is>
          <t>Miami</t>
        </is>
      </c>
      <c r="M45" s="14" t="n">
        <v>25.8090466</v>
      </c>
      <c r="N45" s="14" t="n">
        <v>-80.19100539999999</v>
      </c>
      <c r="O45" s="15" t="inlineStr">
        <is>
          <t>View on Map</t>
        </is>
      </c>
      <c r="P45" s="13" t="n"/>
      <c r="Q45" s="13" t="n"/>
      <c r="R45" s="13" t="inlineStr">
        <is>
          <t>A Little Something Extra</t>
        </is>
      </c>
      <c r="S45" s="13" t="inlineStr">
        <is>
          <t>nightlife</t>
        </is>
      </c>
      <c r="T45" s="13" t="inlineStr">
        <is>
          <t>medium</t>
        </is>
      </c>
      <c r="U45" s="16" t="n">
        <v>150</v>
      </c>
      <c r="V45" s="16" t="n">
        <v>75</v>
      </c>
      <c r="W45" s="13" t="inlineStr">
        <is>
          <t>15–20 min</t>
        </is>
      </c>
      <c r="X45" s="17" t="inlineStr">
        <is>
          <t>Explore the house, find the garden, and settle in. Photograph your spot.</t>
        </is>
      </c>
      <c r="Y45" s="15" t="inlineStr">
        <is>
          <t>Website</t>
        </is>
      </c>
      <c r="Z45" s="15" t="inlineStr">
        <is>
          <t>Google Reviews</t>
        </is>
      </c>
      <c r="AA45" s="15" t="inlineStr">
        <is>
          <t>Instagram</t>
        </is>
      </c>
      <c r="AB45" s="12" t="inlineStr">
        <is>
          <t>Needs Sourcing</t>
        </is>
      </c>
      <c r="AC45" s="12" t="inlineStr">
        <is>
          <t>Needs Sourcing</t>
        </is>
      </c>
      <c r="AD45" s="12" t="inlineStr">
        <is>
          <t>Needs Sourcing</t>
        </is>
      </c>
      <c r="AE45" s="7" t="inlineStr">
        <is>
          <t>active</t>
        </is>
      </c>
      <c r="AF45" s="7" t="inlineStr">
        <is>
          <t>verified</t>
        </is>
      </c>
      <c r="AG45" s="7" t="inlineStr">
        <is>
          <t>active</t>
        </is>
      </c>
      <c r="AH45" s="13" t="inlineStr">
        <is>
          <t>2026-07-07</t>
        </is>
      </c>
      <c r="AI45" s="17" t="inlineStr">
        <is>
          <t>Decision maker: Owner/Operator; Contact: info@lagniappehouse.com. Award-winning wine bar and jazz club with garden seating. Some listings place it at the Wynwood-Edgewater border rather than Midtown proper. Precise coordinates not found from a reliable source, left null.</t>
        </is>
      </c>
    </row>
    <row r="46" ht="94" customHeight="1">
      <c r="A46" s="6" t="inlineStr">
        <is>
          <t>6f78cab4-49e2-5ad2-b540-b9b05ee13985</t>
        </is>
      </c>
      <c r="B46" s="6" t="inlineStr">
        <is>
          <t>6cb7bcbb-c52f-5dd0-bc00-580e92d8f786</t>
        </is>
      </c>
      <c r="C46" s="6" t="inlineStr">
        <is>
          <t>636d6c24-dd1c-57b7-9b79-94481e239b2b</t>
        </is>
      </c>
      <c r="D46" s="6" t="inlineStr">
        <is>
          <t>miami-worldcenter</t>
        </is>
      </c>
      <c r="E46" s="6" t="inlineStr">
        <is>
          <t>Miami Worldcenter</t>
        </is>
      </c>
      <c r="F46" s="6" t="inlineStr">
        <is>
          <t>venue</t>
        </is>
      </c>
      <c r="G46" s="7" t="inlineStr">
        <is>
          <t>active</t>
        </is>
      </c>
      <c r="H46" s="6" t="inlineStr">
        <is>
          <t>info@miamiworldcenter.com</t>
        </is>
      </c>
      <c r="I46" s="6" t="inlineStr">
        <is>
          <t>Miami Worldcenter</t>
        </is>
      </c>
      <c r="J46" s="6" t="inlineStr">
        <is>
          <t>851 NE 1st Ave, Miami, FL 33132</t>
        </is>
      </c>
      <c r="K46" s="6" t="inlineStr">
        <is>
          <t>Park West / Downtown Miami</t>
        </is>
      </c>
      <c r="L46" s="6" t="inlineStr">
        <is>
          <t>Miami</t>
        </is>
      </c>
      <c r="M46" s="8" t="n">
        <v>25.782431</v>
      </c>
      <c r="N46" s="8" t="n">
        <v>-80.19185400000001</v>
      </c>
      <c r="O46" s="9" t="inlineStr">
        <is>
          <t>View on Map</t>
        </is>
      </c>
      <c r="P46" s="6" t="n"/>
      <c r="Q46" s="6" t="n"/>
      <c r="R46" s="6" t="inlineStr">
        <is>
          <t>City Under Construction</t>
        </is>
      </c>
      <c r="S46" s="6" t="inlineStr">
        <is>
          <t>shopping</t>
        </is>
      </c>
      <c r="T46" s="6" t="inlineStr">
        <is>
          <t>easy</t>
        </is>
      </c>
      <c r="U46" s="10" t="n">
        <v>50</v>
      </c>
      <c r="V46" s="10" t="n">
        <v>25</v>
      </c>
      <c r="W46" s="6" t="inlineStr">
        <is>
          <t>10–15 min</t>
        </is>
      </c>
      <c r="X46" s="11" t="inlineStr">
        <is>
          <t>Walk Miami Worldcenter's new blocks and photograph old Miami and new Miami in a single frame.</t>
        </is>
      </c>
      <c r="Y46" s="9" t="inlineStr">
        <is>
          <t>Website</t>
        </is>
      </c>
      <c r="Z46" s="9" t="inlineStr">
        <is>
          <t>Google Reviews</t>
        </is>
      </c>
      <c r="AA46" s="9" t="inlineStr">
        <is>
          <t>Instagram</t>
        </is>
      </c>
      <c r="AB46" s="12" t="inlineStr">
        <is>
          <t>Needs Sourcing</t>
        </is>
      </c>
      <c r="AC46" s="12" t="inlineStr">
        <is>
          <t>Needs Sourcing</t>
        </is>
      </c>
      <c r="AD46" s="12" t="inlineStr">
        <is>
          <t>Needs Sourcing</t>
        </is>
      </c>
      <c r="AE46" s="7" t="inlineStr">
        <is>
          <t>active</t>
        </is>
      </c>
      <c r="AF46" s="7" t="inlineStr">
        <is>
          <t>verified</t>
        </is>
      </c>
      <c r="AG46" s="7" t="inlineStr">
        <is>
          <t>active</t>
        </is>
      </c>
      <c r="AH46" s="6" t="inlineStr">
        <is>
          <t>2026-07-07</t>
        </is>
      </c>
      <c r="AI46" s="11" t="inlineStr">
        <is>
          <t>Decision maker: Development VP; Contact: info@miamiworldcenter.com. Large ten-block mixed-use development (residential towers, hotel, convention center, retail/lifestyle component) in the Park West area just north of Downtown Miami - a public/mixed-use district under active construction and leasing, not a single business. Coordinates taken from an Apple Maps place link for a component building (Paramount Miami Worldcenter) at the same 851 NE 1st Ave address given by the official site.</t>
        </is>
      </c>
    </row>
    <row r="47" ht="79" customHeight="1">
      <c r="A47" s="13" t="inlineStr">
        <is>
          <t>8e77ef26-b4ac-574b-9b46-06a276d7577e</t>
        </is>
      </c>
      <c r="B47" s="13" t="inlineStr">
        <is>
          <t>3d6e479e-6ef9-5cfd-bbc8-021de95e8ff5</t>
        </is>
      </c>
      <c r="C47" s="13" t="inlineStr">
        <is>
          <t>2f64ad78-af59-54c1-897e-9ae076b0fbeb</t>
        </is>
      </c>
      <c r="D47" s="13" t="inlineStr">
        <is>
          <t>brewing-buddha-pinecrest</t>
        </is>
      </c>
      <c r="E47" s="13" t="inlineStr">
        <is>
          <t>Brewing Buddha Cafe &amp; Arthouse</t>
        </is>
      </c>
      <c r="F47" s="13" t="inlineStr">
        <is>
          <t>venue</t>
        </is>
      </c>
      <c r="G47" s="7" t="inlineStr">
        <is>
          <t>active</t>
        </is>
      </c>
      <c r="H47" s="13" t="inlineStr">
        <is>
          <t>brewingbuddha@gmail.com</t>
        </is>
      </c>
      <c r="I47" s="13" t="inlineStr">
        <is>
          <t>Brewing Buddha Cafe &amp; Arthouse</t>
        </is>
      </c>
      <c r="J47" s="13" t="inlineStr">
        <is>
          <t>8219 SW 124th St, Pinecrest, FL 33156</t>
        </is>
      </c>
      <c r="K47" s="13" t="inlineStr">
        <is>
          <t>Pinecrest</t>
        </is>
      </c>
      <c r="L47" s="13" t="inlineStr">
        <is>
          <t>Pinecrest</t>
        </is>
      </c>
      <c r="M47" s="14" t="n">
        <v>25.6554818</v>
      </c>
      <c r="N47" s="14" t="n">
        <v>-80.3268453</v>
      </c>
      <c r="O47" s="15" t="inlineStr">
        <is>
          <t>View on Map</t>
        </is>
      </c>
      <c r="P47" s="13" t="n"/>
      <c r="Q47" s="13" t="n"/>
      <c r="R47" s="13" t="inlineStr">
        <is>
          <t>The Buddha's Gallery</t>
        </is>
      </c>
      <c r="S47" s="13" t="inlineStr">
        <is>
          <t>food</t>
        </is>
      </c>
      <c r="T47" s="13" t="inlineStr">
        <is>
          <t>easy</t>
        </is>
      </c>
      <c r="U47" s="16" t="n">
        <v>50</v>
      </c>
      <c r="V47" s="16" t="n">
        <v>25</v>
      </c>
      <c r="W47" s="13" t="inlineStr">
        <is>
          <t>5–10 min</t>
        </is>
      </c>
      <c r="X47" s="17" t="inlineStr">
        <is>
          <t>Explore the arthouse side of the café and photograph the artwork that speaks to you most.</t>
        </is>
      </c>
      <c r="Y47" s="15" t="inlineStr">
        <is>
          <t>Website</t>
        </is>
      </c>
      <c r="Z47" s="15" t="inlineStr">
        <is>
          <t>Google Reviews</t>
        </is>
      </c>
      <c r="AA47" s="15" t="inlineStr">
        <is>
          <t>Instagram</t>
        </is>
      </c>
      <c r="AB47" s="12" t="inlineStr">
        <is>
          <t>Needs Sourcing</t>
        </is>
      </c>
      <c r="AC47" s="12" t="inlineStr">
        <is>
          <t>Needs Sourcing</t>
        </is>
      </c>
      <c r="AD47" s="12" t="inlineStr">
        <is>
          <t>Needs Sourcing</t>
        </is>
      </c>
      <c r="AE47" s="7" t="inlineStr">
        <is>
          <t>active</t>
        </is>
      </c>
      <c r="AF47" s="7" t="inlineStr">
        <is>
          <t>verified</t>
        </is>
      </c>
      <c r="AG47" s="7" t="inlineStr">
        <is>
          <t>active</t>
        </is>
      </c>
      <c r="AH47" s="13" t="inlineStr">
        <is>
          <t>2026-07-07</t>
        </is>
      </c>
      <c r="AI47" s="17" t="inlineStr">
        <is>
          <t>Decision maker: Owner; Contact: brewingbuddha@gmail.com. Full legal/DBA name is 'Brewing Buddha Cafe &amp; Arthouse'. Input neighborhood 'South Miami / Suburban' is close but the actual municipality is Pinecrest, FL (per Miami New Times and mailing address), not the separate city of South Miami. Owned by brothers Jordan and Cassidy Athos, opened 2017. Yelp updated May 2026, confirmed active.</t>
        </is>
      </c>
    </row>
    <row r="48" ht="64" customHeight="1">
      <c r="A48" s="6" t="inlineStr">
        <is>
          <t>2cf2cdf4-9828-5d73-8869-143b1633a9e3</t>
        </is>
      </c>
      <c r="B48" s="6" t="inlineStr">
        <is>
          <t>54bb0aa7-790f-58ab-bd49-d78682d5f3ab</t>
        </is>
      </c>
      <c r="C48" s="6" t="inlineStr">
        <is>
          <t>3b919211-a15b-5f8e-8280-4abffe96d876</t>
        </is>
      </c>
      <c r="D48" s="6" t="inlineStr">
        <is>
          <t>bodega-taqueria-south-beach</t>
        </is>
      </c>
      <c r="E48" s="6" t="inlineStr">
        <is>
          <t>Bodega Taqueria y Tequila</t>
        </is>
      </c>
      <c r="F48" s="6" t="inlineStr">
        <is>
          <t>venue</t>
        </is>
      </c>
      <c r="G48" s="7" t="inlineStr">
        <is>
          <t>active</t>
        </is>
      </c>
      <c r="H48" s="6" t="inlineStr">
        <is>
          <t>info@bodegataqueria.com</t>
        </is>
      </c>
      <c r="I48" s="6" t="inlineStr">
        <is>
          <t>Bodega Taqueria y Tequila South Beach (Hidden Speakeasy)</t>
        </is>
      </c>
      <c r="J48" s="6" t="inlineStr">
        <is>
          <t>1220 16th St, Miami Beach, FL 33139</t>
        </is>
      </c>
      <c r="K48" s="6" t="inlineStr">
        <is>
          <t>South Beach</t>
        </is>
      </c>
      <c r="L48" s="6" t="inlineStr">
        <is>
          <t>Miami Beach</t>
        </is>
      </c>
      <c r="M48" s="8" t="n">
        <v>25.7887693</v>
      </c>
      <c r="N48" s="8" t="n">
        <v>-80.1416261</v>
      </c>
      <c r="O48" s="9" t="inlineStr">
        <is>
          <t>View on Map</t>
        </is>
      </c>
      <c r="P48" s="6" t="n"/>
      <c r="Q48" s="6" t="inlineStr">
        <is>
          <t>Open daily</t>
        </is>
      </c>
      <c r="R48" s="6" t="inlineStr">
        <is>
          <t>The Porta-Potty Portal</t>
        </is>
      </c>
      <c r="S48" s="6" t="inlineStr">
        <is>
          <t>hidden_gem</t>
        </is>
      </c>
      <c r="T48" s="6" t="inlineStr">
        <is>
          <t>medium</t>
        </is>
      </c>
      <c r="U48" s="10" t="n">
        <v>150</v>
      </c>
      <c r="V48" s="10" t="n">
        <v>75</v>
      </c>
      <c r="W48" s="6" t="inlineStr">
        <is>
          <t>10–15 min</t>
        </is>
      </c>
      <c r="X48" s="11" t="inlineStr">
        <is>
          <t>Find the fake porta-potty door inside Bodega and discover what's behind it. Photograph the door — leave what's beyond it a mystery.</t>
        </is>
      </c>
      <c r="Y48" s="9" t="inlineStr">
        <is>
          <t>Website</t>
        </is>
      </c>
      <c r="Z48" s="9" t="inlineStr">
        <is>
          <t>Google Reviews</t>
        </is>
      </c>
      <c r="AA48" s="9" t="inlineStr">
        <is>
          <t>Instagram</t>
        </is>
      </c>
      <c r="AB48" s="12" t="inlineStr">
        <is>
          <t>Needs Sourcing</t>
        </is>
      </c>
      <c r="AC48" s="12" t="inlineStr">
        <is>
          <t>Needs Sourcing</t>
        </is>
      </c>
      <c r="AD48" s="12" t="inlineStr">
        <is>
          <t>Needs Sourcing</t>
        </is>
      </c>
      <c r="AE48" s="7" t="inlineStr">
        <is>
          <t>active</t>
        </is>
      </c>
      <c r="AF48" s="7" t="inlineStr">
        <is>
          <t>verified</t>
        </is>
      </c>
      <c r="AG48" s="7" t="inlineStr">
        <is>
          <t>active</t>
        </is>
      </c>
      <c r="AH48" s="6" t="inlineStr">
        <is>
          <t>2026-07-07</t>
        </is>
      </c>
      <c r="AI48" s="11" t="inlineStr">
        <is>
          <t>Decision maker: Security Lead. Contact: info@bodegataqueria.com. Bodega Taqueria y Tequila's South Beach flagship (open since Dec 2014) contains a well-documented hidden speakeasy bar accessed through a fake porta-potty door, confirmed via press coverage (Digest Miami) and Tripadvisor reviews. Active and open daily.</t>
        </is>
      </c>
    </row>
    <row r="49" ht="64" customHeight="1">
      <c r="A49" s="13" t="inlineStr">
        <is>
          <t>ae7a8290-897f-5083-af13-c75ce4b3f143</t>
        </is>
      </c>
      <c r="B49" s="13" t="inlineStr">
        <is>
          <t>d55e37b0-a95c-5b5a-a7dc-8fbfc86e2401</t>
        </is>
      </c>
      <c r="C49" s="13" t="inlineStr">
        <is>
          <t>e3910d7b-7879-5b99-91f5-b802abb6f486</t>
        </is>
      </c>
      <c r="D49" s="13" t="inlineStr">
        <is>
          <t>broken-shaker-miami-beach</t>
        </is>
      </c>
      <c r="E49" s="13" t="inlineStr">
        <is>
          <t>Broken Shaker</t>
        </is>
      </c>
      <c r="F49" s="13" t="inlineStr">
        <is>
          <t>venue</t>
        </is>
      </c>
      <c r="G49" s="7" t="inlineStr">
        <is>
          <t>active</t>
        </is>
      </c>
      <c r="H49" s="13" t="inlineStr">
        <is>
          <t>shaker.miami@freehandhotels.com</t>
        </is>
      </c>
      <c r="I49" s="13" t="inlineStr">
        <is>
          <t>Broken Shaker at Freehand Miami</t>
        </is>
      </c>
      <c r="J49" s="13" t="inlineStr">
        <is>
          <t>2727 Indian Creek Dr, Miami Beach, FL 33140</t>
        </is>
      </c>
      <c r="K49" s="13" t="inlineStr">
        <is>
          <t>South Beach</t>
        </is>
      </c>
      <c r="L49" s="13" t="inlineStr">
        <is>
          <t>Miami Beach</t>
        </is>
      </c>
      <c r="M49" s="14" t="n">
        <v>25.8045422</v>
      </c>
      <c r="N49" s="14" t="n">
        <v>-80.1263489</v>
      </c>
      <c r="O49" s="15" t="inlineStr">
        <is>
          <t>View on Map</t>
        </is>
      </c>
      <c r="P49" s="13" t="n"/>
      <c r="Q49" s="13" t="n"/>
      <c r="R49" s="13" t="inlineStr">
        <is>
          <t>The Pop-Up That Stayed</t>
        </is>
      </c>
      <c r="S49" s="13" t="inlineStr">
        <is>
          <t>nightlife</t>
        </is>
      </c>
      <c r="T49" s="13" t="inlineStr">
        <is>
          <t>medium</t>
        </is>
      </c>
      <c r="U49" s="16" t="n">
        <v>150</v>
      </c>
      <c r="V49" s="16" t="n">
        <v>75</v>
      </c>
      <c r="W49" s="13" t="inlineStr">
        <is>
          <t>15–20 min</t>
        </is>
      </c>
      <c r="X49" s="17" t="inlineStr">
        <is>
          <t>Find the Broken Shaker inside the Freehand and settle into the bar that refused to be temporary. Capture your spot.</t>
        </is>
      </c>
      <c r="Y49" s="15" t="inlineStr">
        <is>
          <t>Website</t>
        </is>
      </c>
      <c r="Z49" s="15" t="inlineStr">
        <is>
          <t>Google Reviews</t>
        </is>
      </c>
      <c r="AA49" s="15" t="inlineStr">
        <is>
          <t>Instagram</t>
        </is>
      </c>
      <c r="AB49" s="12" t="inlineStr">
        <is>
          <t>Needs Sourcing</t>
        </is>
      </c>
      <c r="AC49" s="12" t="inlineStr">
        <is>
          <t>Needs Sourcing</t>
        </is>
      </c>
      <c r="AD49" s="12" t="inlineStr">
        <is>
          <t>Needs Sourcing</t>
        </is>
      </c>
      <c r="AE49" s="7" t="inlineStr">
        <is>
          <t>active</t>
        </is>
      </c>
      <c r="AF49" s="7" t="inlineStr">
        <is>
          <t>verified</t>
        </is>
      </c>
      <c r="AG49" s="7" t="inlineStr">
        <is>
          <t>active</t>
        </is>
      </c>
      <c r="AH49" s="13" t="inlineStr">
        <is>
          <t>2026-07-07</t>
        </is>
      </c>
      <c r="AI49" s="17" t="inlineStr">
        <is>
          <t>Decision maker: Bar GM. Contact: shaker.miami@freehandhotels.com. Original Miami location (started as 2012 pop-up) at Freehand Miami hotel; James Beard semifinalist. Note the address is on Indian Creek Dr near Mid-Beach, slightly north of the traditional 'South Beach/SoBe' core — sometimes categorized as 'Mid-Beach'.</t>
        </is>
      </c>
    </row>
    <row r="50" ht="79" customHeight="1">
      <c r="A50" s="6" t="inlineStr">
        <is>
          <t>6622b17b-0661-580c-ab70-c063ff7be528</t>
        </is>
      </c>
      <c r="B50" s="6" t="inlineStr">
        <is>
          <t>6326d75b-8ddf-5b94-8d81-23ff2f889552</t>
        </is>
      </c>
      <c r="C50" s="6" t="inlineStr">
        <is>
          <t>833529ce-a8c6-5ed7-8bf4-4fe76647d01d</t>
        </is>
      </c>
      <c r="D50" s="6" t="inlineStr">
        <is>
          <t>espanola-way</t>
        </is>
      </c>
      <c r="E50" s="6" t="inlineStr">
        <is>
          <t>Española Way</t>
        </is>
      </c>
      <c r="F50" s="6" t="inlineStr">
        <is>
          <t>venue</t>
        </is>
      </c>
      <c r="G50" s="7" t="inlineStr">
        <is>
          <t>active</t>
        </is>
      </c>
      <c r="H50" s="6" t="inlineStr">
        <is>
          <t>info@visitespanolaway.com</t>
        </is>
      </c>
      <c r="I50" s="6" t="inlineStr">
        <is>
          <t>Española Way</t>
        </is>
      </c>
      <c r="J50" s="6" t="inlineStr">
        <is>
          <t>419 Española Way, Miami Beach, FL 33139</t>
        </is>
      </c>
      <c r="K50" s="6" t="inlineStr">
        <is>
          <t>South Beach</t>
        </is>
      </c>
      <c r="L50" s="6" t="inlineStr">
        <is>
          <t>Miami Beach</t>
        </is>
      </c>
      <c r="M50" s="8" t="n">
        <v>25.7870053</v>
      </c>
      <c r="N50" s="8" t="n">
        <v>-80.1320681</v>
      </c>
      <c r="O50" s="9" t="inlineStr">
        <is>
          <t>View on Map</t>
        </is>
      </c>
      <c r="P50" s="6" t="n"/>
      <c r="Q50" s="6" t="n"/>
      <c r="R50" s="6" t="inlineStr">
        <is>
          <t>The Spanish Detour</t>
        </is>
      </c>
      <c r="S50" s="6" t="inlineStr">
        <is>
          <t>culture</t>
        </is>
      </c>
      <c r="T50" s="6" t="inlineStr">
        <is>
          <t>easy</t>
        </is>
      </c>
      <c r="U50" s="10" t="n">
        <v>50</v>
      </c>
      <c r="V50" s="10" t="n">
        <v>25</v>
      </c>
      <c r="W50" s="6" t="inlineStr">
        <is>
          <t>5–10 min</t>
        </is>
      </c>
      <c r="X50" s="11" t="inlineStr">
        <is>
          <t>Wander Española Way and photograph the detail that feels imported straight from the Mediterranean.</t>
        </is>
      </c>
      <c r="Y50" s="9" t="inlineStr">
        <is>
          <t>Website</t>
        </is>
      </c>
      <c r="Z50" s="9" t="inlineStr">
        <is>
          <t>Google Reviews</t>
        </is>
      </c>
      <c r="AA50" s="9" t="inlineStr">
        <is>
          <t>Instagram</t>
        </is>
      </c>
      <c r="AB50" s="12" t="inlineStr">
        <is>
          <t>Needs Sourcing</t>
        </is>
      </c>
      <c r="AC50" s="12" t="inlineStr">
        <is>
          <t>Needs Sourcing</t>
        </is>
      </c>
      <c r="AD50" s="12" t="inlineStr">
        <is>
          <t>Needs Sourcing</t>
        </is>
      </c>
      <c r="AE50" s="7" t="inlineStr">
        <is>
          <t>active</t>
        </is>
      </c>
      <c r="AF50" s="7" t="inlineStr">
        <is>
          <t>verified</t>
        </is>
      </c>
      <c r="AG50" s="7" t="inlineStr">
        <is>
          <t>active</t>
        </is>
      </c>
      <c r="AH50" s="6" t="inlineStr">
        <is>
          <t>2026-07-07</t>
        </is>
      </c>
      <c r="AI50" s="11" t="inlineStr">
        <is>
          <t>Historic pedestrian-oriented Mediterranean-style street/plaza in South Beach between Washington Ave and Drexel Ave, recently completed a $2.5M revitalization. Public space with a historic district board, not a single business; input website 'visitespanolaway.com' could not be independently confirmed as live - using City/tourism board page instead. Decision maker: Historic District Board; contact: info@visitespanolaway.com.</t>
        </is>
      </c>
    </row>
    <row r="51" ht="109" customHeight="1">
      <c r="A51" s="13" t="inlineStr">
        <is>
          <t>3f5adf54-783c-5f9d-b1a5-0816fbea53ef</t>
        </is>
      </c>
      <c r="B51" s="13" t="inlineStr">
        <is>
          <t>97c960d0-55e2-5fcf-be27-e5c1dc78f58d</t>
        </is>
      </c>
      <c r="C51" s="13" t="inlineStr">
        <is>
          <t>fd491c98-f9f9-55df-bdd2-524064c0cf50</t>
        </is>
      </c>
      <c r="D51" s="13" t="inlineStr">
        <is>
          <t>lummus-park-south-beach</t>
        </is>
      </c>
      <c r="E51" s="13" t="inlineStr">
        <is>
          <t>Lummus Park</t>
        </is>
      </c>
      <c r="F51" s="13" t="inlineStr">
        <is>
          <t>venue</t>
        </is>
      </c>
      <c r="G51" s="7" t="inlineStr">
        <is>
          <t>active</t>
        </is>
      </c>
      <c r="H51" s="13" t="inlineStr">
        <is>
          <t>parks@miamibeachfl.gov</t>
        </is>
      </c>
      <c r="I51" s="13" t="inlineStr">
        <is>
          <t>Lummus Park</t>
        </is>
      </c>
      <c r="J51" s="13" t="inlineStr">
        <is>
          <t>Ocean Dr (between 5th St and 15th St), Miami Beach, FL 33139</t>
        </is>
      </c>
      <c r="K51" s="13" t="inlineStr">
        <is>
          <t>South Beach</t>
        </is>
      </c>
      <c r="L51" s="13" t="inlineStr">
        <is>
          <t>Miami Beach</t>
        </is>
      </c>
      <c r="M51" s="14" t="n">
        <v>25.7806133</v>
      </c>
      <c r="N51" s="14" t="n">
        <v>-80.12989330000001</v>
      </c>
      <c r="O51" s="15" t="inlineStr">
        <is>
          <t>View on Map</t>
        </is>
      </c>
      <c r="P51" s="13" t="n"/>
      <c r="Q51" s="13" t="n"/>
      <c r="R51" s="13" t="inlineStr">
        <is>
          <t>Postcard Row</t>
        </is>
      </c>
      <c r="S51" s="13" t="inlineStr">
        <is>
          <t>outdoors</t>
        </is>
      </c>
      <c r="T51" s="13" t="inlineStr">
        <is>
          <t>easy</t>
        </is>
      </c>
      <c r="U51" s="16" t="n">
        <v>50</v>
      </c>
      <c r="V51" s="16" t="n">
        <v>25</v>
      </c>
      <c r="W51" s="13" t="inlineStr">
        <is>
          <t>10–15 min</t>
        </is>
      </c>
      <c r="X51" s="17" t="inlineStr">
        <is>
          <t>Walk the stretch where Lummus Park's palms meet the Art Deco skyline and capture the most Miami photo possible.</t>
        </is>
      </c>
      <c r="Y51" s="15" t="inlineStr">
        <is>
          <t>Website</t>
        </is>
      </c>
      <c r="Z51" s="15" t="inlineStr">
        <is>
          <t>Google Reviews</t>
        </is>
      </c>
      <c r="AA51" s="15" t="inlineStr">
        <is>
          <t>Instagram</t>
        </is>
      </c>
      <c r="AB51" s="12" t="inlineStr">
        <is>
          <t>Needs Sourcing</t>
        </is>
      </c>
      <c r="AC51" s="12" t="inlineStr">
        <is>
          <t>Needs Sourcing</t>
        </is>
      </c>
      <c r="AD51" s="12" t="inlineStr">
        <is>
          <t>Needs Sourcing</t>
        </is>
      </c>
      <c r="AE51" s="7" t="inlineStr">
        <is>
          <t>active</t>
        </is>
      </c>
      <c r="AF51" s="7" t="inlineStr">
        <is>
          <t>verified</t>
        </is>
      </c>
      <c r="AG51" s="7" t="inlineStr">
        <is>
          <t>active</t>
        </is>
      </c>
      <c r="AH51" s="13" t="inlineStr">
        <is>
          <t>2026-07-07</t>
        </is>
      </c>
      <c r="AI51" s="17" t="inlineStr">
        <is>
          <t>Decision maker: City Parks Liaison; Contact: parks@miamibeachfl.gov. Public 74-acre oceanfront park in the Art Deco Historic District, managed by City of Miami Beach Parks &amp; Recreation - no single commercial operator, as expected for this tier. Note: there is also a separate, smaller 'Lummus Park' near Downtown Miami (Lummus Park Historic District) - do not confuse the two; this record is for the Miami Beach oceanfront park matching the input's 'South Beach' neighborhood and miamibeachfl.gov website. No reliable primary-source coordinates found in this session.</t>
        </is>
      </c>
    </row>
    <row r="52" ht="49" customHeight="1">
      <c r="A52" s="6" t="inlineStr">
        <is>
          <t>5efb7510-e755-5182-9b2d-3dd1de150abc</t>
        </is>
      </c>
      <c r="B52" s="6" t="inlineStr">
        <is>
          <t>63e9ec9b-9501-591a-a857-cbe5053a3434</t>
        </is>
      </c>
      <c r="C52" s="6" t="inlineStr">
        <is>
          <t>c52d5929-de1b-5d2c-bc9d-84564c78a487</t>
        </is>
      </c>
      <c r="D52" s="6" t="inlineStr">
        <is>
          <t>macs-club-deuce</t>
        </is>
      </c>
      <c r="E52" s="6" t="inlineStr">
        <is>
          <t>Mac's Club Deuce</t>
        </is>
      </c>
      <c r="F52" s="6" t="inlineStr">
        <is>
          <t>venue</t>
        </is>
      </c>
      <c r="G52" s="7" t="inlineStr">
        <is>
          <t>active</t>
        </is>
      </c>
      <c r="H52" s="6" t="inlineStr">
        <is>
          <t>macsclubdeuce@gmail.com</t>
        </is>
      </c>
      <c r="I52" s="6" t="inlineStr">
        <is>
          <t>Mac's Club Deuce</t>
        </is>
      </c>
      <c r="J52" s="6" t="inlineStr">
        <is>
          <t>222 14th St, Miami Beach, FL 33139</t>
        </is>
      </c>
      <c r="K52" s="6" t="inlineStr">
        <is>
          <t>South Beach</t>
        </is>
      </c>
      <c r="L52" s="6" t="inlineStr">
        <is>
          <t>Miami Beach</t>
        </is>
      </c>
      <c r="M52" s="8" t="n">
        <v>25.7852938</v>
      </c>
      <c r="N52" s="8" t="n">
        <v>-80.1314647</v>
      </c>
      <c r="O52" s="9" t="inlineStr">
        <is>
          <t>View on Map</t>
        </is>
      </c>
      <c r="P52" s="6" t="n"/>
      <c r="Q52" s="6" t="n"/>
      <c r="R52" s="6" t="inlineStr">
        <is>
          <t>The Hundred-Year Dive</t>
        </is>
      </c>
      <c r="S52" s="6" t="inlineStr">
        <is>
          <t>nightlife</t>
        </is>
      </c>
      <c r="T52" s="6" t="inlineStr">
        <is>
          <t>medium</t>
        </is>
      </c>
      <c r="U52" s="10" t="n">
        <v>150</v>
      </c>
      <c r="V52" s="10" t="n">
        <v>75</v>
      </c>
      <c r="W52" s="6" t="inlineStr">
        <is>
          <t>10–15 min</t>
        </is>
      </c>
      <c r="X52" s="11" t="inlineStr">
        <is>
          <t>Step into Mac's Club Deuce and salute the century. Capture proof you stood in Miami's oldest bar. Bring cash — that's the house rule.</t>
        </is>
      </c>
      <c r="Y52" s="9" t="inlineStr">
        <is>
          <t>Website</t>
        </is>
      </c>
      <c r="Z52" s="9" t="inlineStr">
        <is>
          <t>Google Reviews</t>
        </is>
      </c>
      <c r="AA52" s="9" t="inlineStr">
        <is>
          <t>Instagram</t>
        </is>
      </c>
      <c r="AB52" s="12" t="inlineStr">
        <is>
          <t>Needs Sourcing</t>
        </is>
      </c>
      <c r="AC52" s="12" t="inlineStr">
        <is>
          <t>Needs Sourcing</t>
        </is>
      </c>
      <c r="AD52" s="12" t="inlineStr">
        <is>
          <t>Needs Sourcing</t>
        </is>
      </c>
      <c r="AE52" s="7" t="inlineStr">
        <is>
          <t>active</t>
        </is>
      </c>
      <c r="AF52" s="7" t="inlineStr">
        <is>
          <t>verified</t>
        </is>
      </c>
      <c r="AG52" s="7" t="inlineStr">
        <is>
          <t>active</t>
        </is>
      </c>
      <c r="AH52" s="6" t="inlineStr">
        <is>
          <t>2026-07-07</t>
        </is>
      </c>
      <c r="AI52" s="11" t="inlineStr">
        <is>
          <t>Decision maker: Owner / Head Bartender. Contact: macsclubdeuce@gmail.com. Miami's oldest bar, established 1926, celebrating 100 years in 2026. Cash-only dive bar, an Anthony Bourdain favorite.</t>
        </is>
      </c>
    </row>
    <row r="53" ht="94" customHeight="1">
      <c r="A53" s="13" t="inlineStr">
        <is>
          <t>3cef83c3-7d8d-5f7b-b122-7af4a8e08b6f</t>
        </is>
      </c>
      <c r="B53" s="13" t="inlineStr">
        <is>
          <t>7a0964cc-7ec6-5a79-b2e8-45474df501c2</t>
        </is>
      </c>
      <c r="C53" s="13" t="inlineStr">
        <is>
          <t>013760c2-e7bc-5bc6-8226-a0887e82c453</t>
        </is>
      </c>
      <c r="D53" s="13" t="inlineStr">
        <is>
          <t>rosetta-bakery-south-beach</t>
        </is>
      </c>
      <c r="E53" s="13" t="inlineStr">
        <is>
          <t>Rosetta Bakery</t>
        </is>
      </c>
      <c r="F53" s="13" t="inlineStr">
        <is>
          <t>venue</t>
        </is>
      </c>
      <c r="G53" s="7" t="inlineStr">
        <is>
          <t>active</t>
        </is>
      </c>
      <c r="H53" s="13" t="inlineStr">
        <is>
          <t>info@rosettabakery.com</t>
        </is>
      </c>
      <c r="I53" s="13" t="inlineStr">
        <is>
          <t>Rosetta Bakery - South Beach</t>
        </is>
      </c>
      <c r="J53" s="13" t="inlineStr">
        <is>
          <t>1666 Collins Ave, Miami Beach, FL 33139</t>
        </is>
      </c>
      <c r="K53" s="13" t="inlineStr">
        <is>
          <t>South Beach</t>
        </is>
      </c>
      <c r="L53" s="13" t="inlineStr">
        <is>
          <t>Miami Beach</t>
        </is>
      </c>
      <c r="M53" s="14" t="n">
        <v>25.7914055</v>
      </c>
      <c r="N53" s="14" t="n">
        <v>-80.1300535</v>
      </c>
      <c r="O53" s="15" t="inlineStr">
        <is>
          <t>View on Map</t>
        </is>
      </c>
      <c r="P53" s="13" t="n"/>
      <c r="Q53" s="13" t="n"/>
      <c r="R53" s="13" t="inlineStr">
        <is>
          <t>La Dolce Collins</t>
        </is>
      </c>
      <c r="S53" s="13" t="inlineStr">
        <is>
          <t>food</t>
        </is>
      </c>
      <c r="T53" s="13" t="inlineStr">
        <is>
          <t>easy</t>
        </is>
      </c>
      <c r="U53" s="16" t="n">
        <v>50</v>
      </c>
      <c r="V53" s="16" t="n">
        <v>25</v>
      </c>
      <c r="W53" s="13" t="inlineStr">
        <is>
          <t>5–10 min</t>
        </is>
      </c>
      <c r="X53" s="17" t="inlineStr">
        <is>
          <t>Study the pastry counter and photograph the most Italian thing in the case.</t>
        </is>
      </c>
      <c r="Y53" s="15" t="inlineStr">
        <is>
          <t>Website</t>
        </is>
      </c>
      <c r="Z53" s="15" t="inlineStr">
        <is>
          <t>Google Reviews</t>
        </is>
      </c>
      <c r="AA53" s="15" t="inlineStr">
        <is>
          <t>Instagram</t>
        </is>
      </c>
      <c r="AB53" s="12" t="inlineStr">
        <is>
          <t>Needs Sourcing</t>
        </is>
      </c>
      <c r="AC53" s="12" t="inlineStr">
        <is>
          <t>Needs Sourcing</t>
        </is>
      </c>
      <c r="AD53" s="12" t="inlineStr">
        <is>
          <t>Needs Sourcing</t>
        </is>
      </c>
      <c r="AE53" s="7" t="inlineStr">
        <is>
          <t>active</t>
        </is>
      </c>
      <c r="AF53" s="7" t="inlineStr">
        <is>
          <t>verified</t>
        </is>
      </c>
      <c r="AG53" s="7" t="inlineStr">
        <is>
          <t>active</t>
        </is>
      </c>
      <c r="AH53" s="13" t="inlineStr">
        <is>
          <t>2026-07-07</t>
        </is>
      </c>
      <c r="AI53" s="17" t="inlineStr">
        <is>
          <t>Decision maker: Store Manager; Contact: info@rosettabakery.com. City corrected from generic 'Miami' to 'Miami Beach' since South Beach is part of the separate municipality of Miami Beach. Italian bakery chain (est. 2015) with multiple South Beach locations (1666 Collins Ave and 929 Collins Ave both currently listed); picked 1666 Collins Ave (Lincoln Road-area) as primary since it's the one most associated with 'South Beach' proper on the official site's store list. Yelp updated June 2026, confirmed active.</t>
        </is>
      </c>
    </row>
    <row r="54" ht="49" customHeight="1">
      <c r="A54" s="6" t="inlineStr">
        <is>
          <t>93a9ffe4-4e23-52b4-bb65-48ec6a292592</t>
        </is>
      </c>
      <c r="B54" s="6" t="inlineStr">
        <is>
          <t>04a443e2-13f5-5c44-b438-41d6ca8d957c</t>
        </is>
      </c>
      <c r="C54" s="6" t="inlineStr">
        <is>
          <t>b3e6fae9-38f7-52e0-a4c3-17d2e88ef2f9</t>
        </is>
      </c>
      <c r="D54" s="6" t="inlineStr">
        <is>
          <t>the-bass-south-beach</t>
        </is>
      </c>
      <c r="E54" s="6" t="inlineStr">
        <is>
          <t>The Bass</t>
        </is>
      </c>
      <c r="F54" s="6" t="inlineStr">
        <is>
          <t>venue</t>
        </is>
      </c>
      <c r="G54" s="7" t="inlineStr">
        <is>
          <t>active</t>
        </is>
      </c>
      <c r="H54" s="6" t="inlineStr">
        <is>
          <t>info@thebass.org</t>
        </is>
      </c>
      <c r="I54" s="6" t="inlineStr">
        <is>
          <t>The Bass</t>
        </is>
      </c>
      <c r="J54" s="6" t="inlineStr">
        <is>
          <t>2100 Collins Ave, Miami Beach, FL 33139</t>
        </is>
      </c>
      <c r="K54" s="6" t="inlineStr">
        <is>
          <t>South Beach</t>
        </is>
      </c>
      <c r="L54" s="6" t="inlineStr">
        <is>
          <t>Miami Beach</t>
        </is>
      </c>
      <c r="M54" s="8" t="n">
        <v>25.7973966</v>
      </c>
      <c r="N54" s="8" t="n">
        <v>-80.12995359999999</v>
      </c>
      <c r="O54" s="9" t="inlineStr">
        <is>
          <t>View on Map</t>
        </is>
      </c>
      <c r="P54" s="6" t="n"/>
      <c r="Q54" s="6" t="n"/>
      <c r="R54" s="6" t="inlineStr">
        <is>
          <t>Bass Notes</t>
        </is>
      </c>
      <c r="S54" s="6" t="inlineStr">
        <is>
          <t>art</t>
        </is>
      </c>
      <c r="T54" s="6" t="inlineStr">
        <is>
          <t>medium</t>
        </is>
      </c>
      <c r="U54" s="10" t="n">
        <v>150</v>
      </c>
      <c r="V54" s="10" t="n">
        <v>75</v>
      </c>
      <c r="W54" s="6" t="inlineStr">
        <is>
          <t>15–20 min</t>
        </is>
      </c>
      <c r="X54" s="11" t="inlineStr">
        <is>
          <t>Explore The Bass and photograph two things: one artwork, and one detail of the building itself.</t>
        </is>
      </c>
      <c r="Y54" s="9" t="inlineStr">
        <is>
          <t>Website</t>
        </is>
      </c>
      <c r="Z54" s="9" t="inlineStr">
        <is>
          <t>Google Reviews</t>
        </is>
      </c>
      <c r="AA54" s="9" t="inlineStr">
        <is>
          <t>Instagram</t>
        </is>
      </c>
      <c r="AB54" s="12" t="inlineStr">
        <is>
          <t>Needs Sourcing</t>
        </is>
      </c>
      <c r="AC54" s="12" t="inlineStr">
        <is>
          <t>Needs Sourcing</t>
        </is>
      </c>
      <c r="AD54" s="12" t="inlineStr">
        <is>
          <t>Needs Sourcing</t>
        </is>
      </c>
      <c r="AE54" s="7" t="inlineStr">
        <is>
          <t>active</t>
        </is>
      </c>
      <c r="AF54" s="7" t="inlineStr">
        <is>
          <t>verified</t>
        </is>
      </c>
      <c r="AG54" s="7" t="inlineStr">
        <is>
          <t>active</t>
        </is>
      </c>
      <c r="AH54" s="6" t="inlineStr">
        <is>
          <t>2026-07-07</t>
        </is>
      </c>
      <c r="AI54" s="11" t="inlineStr">
        <is>
          <t>Decision maker: Membership Director; Contact: info@thebass.org. City corrected from generic 'Miami' to 'Miami Beach' (municipality is Miami Beach, not the City of Miami). Located in Collins Park.</t>
        </is>
      </c>
    </row>
    <row r="55" ht="34" customHeight="1">
      <c r="A55" s="13" t="inlineStr">
        <is>
          <t>f0fcafb0-90d7-54aa-84e4-1532ed7f1801</t>
        </is>
      </c>
      <c r="B55" s="13" t="inlineStr">
        <is>
          <t>5cfc815f-9a61-529e-9c82-e27c7a4be290</t>
        </is>
      </c>
      <c r="C55" s="13" t="inlineStr">
        <is>
          <t>5474f431-39f5-5368-ae3c-087317e8bafb</t>
        </is>
      </c>
      <c r="D55" s="13" t="inlineStr">
        <is>
          <t>temple-house-south-beach</t>
        </is>
      </c>
      <c r="E55" s="13" t="inlineStr">
        <is>
          <t>The Temple House</t>
        </is>
      </c>
      <c r="F55" s="13" t="inlineStr">
        <is>
          <t>venue</t>
        </is>
      </c>
      <c r="G55" s="7" t="inlineStr">
        <is>
          <t>active</t>
        </is>
      </c>
      <c r="H55" s="13" t="inlineStr">
        <is>
          <t>info@thetemplehouse.com</t>
        </is>
      </c>
      <c r="I55" s="13" t="inlineStr">
        <is>
          <t>The Temple House</t>
        </is>
      </c>
      <c r="J55" s="13" t="inlineStr">
        <is>
          <t>1415 Euclid Ave, Miami Beach, FL 33139</t>
        </is>
      </c>
      <c r="K55" s="13" t="inlineStr">
        <is>
          <t>South Beach</t>
        </is>
      </c>
      <c r="L55" s="13" t="inlineStr">
        <is>
          <t>Miami Beach</t>
        </is>
      </c>
      <c r="M55" s="14" t="n">
        <v>25.785967</v>
      </c>
      <c r="N55" s="14" t="n">
        <v>-80.134925</v>
      </c>
      <c r="O55" s="15" t="inlineStr">
        <is>
          <t>View on Map</t>
        </is>
      </c>
      <c r="P55" s="13" t="n"/>
      <c r="Q55" s="13" t="n"/>
      <c r="R55" s="13" t="inlineStr">
        <is>
          <t>Deco in Disguise</t>
        </is>
      </c>
      <c r="S55" s="13" t="inlineStr">
        <is>
          <t>culture</t>
        </is>
      </c>
      <c r="T55" s="13" t="inlineStr">
        <is>
          <t>easy</t>
        </is>
      </c>
      <c r="U55" s="16" t="n">
        <v>50</v>
      </c>
      <c r="V55" s="16" t="n">
        <v>25</v>
      </c>
      <c r="W55" s="13" t="inlineStr">
        <is>
          <t>5–10 min</t>
        </is>
      </c>
      <c r="X55" s="17" t="inlineStr">
        <is>
          <t>Find the 1933 Temple House on Euclid Ave and photograph its Art Deco facade from the sidewalk.</t>
        </is>
      </c>
      <c r="Y55" s="15" t="inlineStr">
        <is>
          <t>Website</t>
        </is>
      </c>
      <c r="Z55" s="15" t="inlineStr">
        <is>
          <t>Google Reviews</t>
        </is>
      </c>
      <c r="AA55" s="15" t="inlineStr">
        <is>
          <t>Instagram</t>
        </is>
      </c>
      <c r="AB55" s="12" t="inlineStr">
        <is>
          <t>Needs Sourcing</t>
        </is>
      </c>
      <c r="AC55" s="12" t="inlineStr">
        <is>
          <t>Needs Sourcing</t>
        </is>
      </c>
      <c r="AD55" s="12" t="inlineStr">
        <is>
          <t>Needs Sourcing</t>
        </is>
      </c>
      <c r="AE55" s="7" t="inlineStr">
        <is>
          <t>active</t>
        </is>
      </c>
      <c r="AF55" s="7" t="inlineStr">
        <is>
          <t>verified</t>
        </is>
      </c>
      <c r="AG55" s="7" t="inlineStr">
        <is>
          <t>active</t>
        </is>
      </c>
      <c r="AH55" s="13" t="inlineStr">
        <is>
          <t>2026-07-07</t>
        </is>
      </c>
      <c r="AI55" s="17" t="inlineStr">
        <is>
          <t>Decision maker: Events Director; Contact: info@thetemplehouse.com. Private, standalone Art Deco event venue (1933 building by L. Murray Dixon), capacity 1-500 guests.</t>
        </is>
      </c>
    </row>
    <row r="56" ht="64" customHeight="1">
      <c r="A56" s="6" t="inlineStr">
        <is>
          <t>f8a566ab-ff32-5de0-ad1a-7230416f3f8b</t>
        </is>
      </c>
      <c r="B56" s="6" t="inlineStr">
        <is>
          <t>61027ac0-fb14-523b-8d20-8443f246e97d</t>
        </is>
      </c>
      <c r="C56" s="6" t="inlineStr">
        <is>
          <t>fed2dca2-9985-578d-bbda-5e2c59018af9</t>
        </is>
      </c>
      <c r="D56" s="6" t="inlineStr">
        <is>
          <t>under-the-mango-tree-sofi</t>
        </is>
      </c>
      <c r="E56" s="6" t="inlineStr">
        <is>
          <t>Under the Mango Tree</t>
        </is>
      </c>
      <c r="F56" s="6" t="inlineStr">
        <is>
          <t>venue</t>
        </is>
      </c>
      <c r="G56" s="7" t="inlineStr">
        <is>
          <t>active</t>
        </is>
      </c>
      <c r="H56" s="6" t="inlineStr">
        <is>
          <t>hello@mangotreemiami.com</t>
        </is>
      </c>
      <c r="I56" s="6" t="inlineStr">
        <is>
          <t>Under the Mango Tree</t>
        </is>
      </c>
      <c r="J56" s="6" t="inlineStr">
        <is>
          <t>737 5th St, Miami Beach, FL 33139</t>
        </is>
      </c>
      <c r="K56" s="6" t="inlineStr">
        <is>
          <t>South Beach (South of Fifth)</t>
        </is>
      </c>
      <c r="L56" s="6" t="inlineStr">
        <is>
          <t>Miami Beach</t>
        </is>
      </c>
      <c r="M56" s="8" t="n">
        <v>25.7747548</v>
      </c>
      <c r="N56" s="8" t="n">
        <v>-80.1358438</v>
      </c>
      <c r="O56" s="9" t="inlineStr">
        <is>
          <t>View on Map</t>
        </is>
      </c>
      <c r="P56" s="6" t="n"/>
      <c r="Q56" s="6" t="n"/>
      <c r="R56" s="6" t="inlineStr">
        <is>
          <t>Mango State of Mind</t>
        </is>
      </c>
      <c r="S56" s="6" t="inlineStr">
        <is>
          <t>food</t>
        </is>
      </c>
      <c r="T56" s="6" t="inlineStr">
        <is>
          <t>easy</t>
        </is>
      </c>
      <c r="U56" s="10" t="n">
        <v>50</v>
      </c>
      <c r="V56" s="10" t="n">
        <v>25</v>
      </c>
      <c r="W56" s="6" t="inlineStr">
        <is>
          <t>5–10 min</t>
        </is>
      </c>
      <c r="X56" s="11" t="inlineStr">
        <is>
          <t>Find Under the Mango Tree just off Fifth Street and photograph whatever you think earned it the name.</t>
        </is>
      </c>
      <c r="Y56" s="9" t="inlineStr">
        <is>
          <t>Website</t>
        </is>
      </c>
      <c r="Z56" s="9" t="inlineStr">
        <is>
          <t>Google Reviews</t>
        </is>
      </c>
      <c r="AA56" s="9" t="inlineStr">
        <is>
          <t>Instagram</t>
        </is>
      </c>
      <c r="AB56" s="12" t="inlineStr">
        <is>
          <t>Needs Sourcing</t>
        </is>
      </c>
      <c r="AC56" s="12" t="inlineStr">
        <is>
          <t>Needs Sourcing</t>
        </is>
      </c>
      <c r="AD56" s="12" t="inlineStr">
        <is>
          <t>Needs Sourcing</t>
        </is>
      </c>
      <c r="AE56" s="7" t="inlineStr">
        <is>
          <t>active</t>
        </is>
      </c>
      <c r="AF56" s="7" t="inlineStr">
        <is>
          <t>verified</t>
        </is>
      </c>
      <c r="AG56" s="7" t="inlineStr">
        <is>
          <t>active</t>
        </is>
      </c>
      <c r="AH56" s="6" t="inlineStr">
        <is>
          <t>2026-07-07</t>
        </is>
      </c>
      <c r="AI56" s="11" t="inlineStr">
        <is>
          <t>Decision maker: Founder; Contact: hello@mangotreemiami.com. Input Instagram handle @underthemangotree_sb could not be confirmed; active handle found is @underthemangotreemiami. A Foursquare listing shows a stale 'Now Closed' tag, but Yelp (updated Jun 2026), Tripadvisor, and HappyCow all show current, active listings.</t>
        </is>
      </c>
    </row>
    <row r="57" ht="64" customHeight="1">
      <c r="A57" s="13" t="inlineStr">
        <is>
          <t>307c71dc-ad8e-546a-89b3-7327c535d063</t>
        </is>
      </c>
      <c r="B57" s="13" t="inlineStr">
        <is>
          <t>cfb6485e-3772-5d94-82bc-64fa0865d54d</t>
        </is>
      </c>
      <c r="C57" s="13" t="inlineStr">
        <is>
          <t>b7dec364-dff7-5da4-a66c-b8b127afe2dc</t>
        </is>
      </c>
      <c r="D57" s="13" t="inlineStr">
        <is>
          <t>joia-beach-watson-island</t>
        </is>
      </c>
      <c r="E57" s="13" t="inlineStr">
        <is>
          <t>Joia Beach</t>
        </is>
      </c>
      <c r="F57" s="13" t="inlineStr">
        <is>
          <t>venue</t>
        </is>
      </c>
      <c r="G57" s="7" t="inlineStr">
        <is>
          <t>active</t>
        </is>
      </c>
      <c r="H57" s="13" t="inlineStr">
        <is>
          <t>info@joiabeachmiami.com</t>
        </is>
      </c>
      <c r="I57" s="13" t="inlineStr">
        <is>
          <t>Joia Beach Restaurant and Beach Club</t>
        </is>
      </c>
      <c r="J57" s="13" t="inlineStr">
        <is>
          <t>1111 Parrot Jungle Trail, Miami, FL 33132</t>
        </is>
      </c>
      <c r="K57" s="13" t="inlineStr">
        <is>
          <t>Watson Island</t>
        </is>
      </c>
      <c r="L57" s="13" t="inlineStr">
        <is>
          <t>Miami</t>
        </is>
      </c>
      <c r="M57" s="14" t="n">
        <v>25.7861775</v>
      </c>
      <c r="N57" s="14" t="n">
        <v>-80.1746936</v>
      </c>
      <c r="O57" s="15" t="inlineStr">
        <is>
          <t>View on Map</t>
        </is>
      </c>
      <c r="P57" s="13" t="n"/>
      <c r="Q57" s="13" t="n"/>
      <c r="R57" s="13" t="inlineStr">
        <is>
          <t>Island Detour</t>
        </is>
      </c>
      <c r="S57" s="13" t="inlineStr">
        <is>
          <t>outdoors</t>
        </is>
      </c>
      <c r="T57" s="13" t="inlineStr">
        <is>
          <t>medium</t>
        </is>
      </c>
      <c r="U57" s="16" t="n">
        <v>150</v>
      </c>
      <c r="V57" s="16" t="n">
        <v>75</v>
      </c>
      <c r="W57" s="13" t="inlineStr">
        <is>
          <t>10–20 min</t>
        </is>
      </c>
      <c r="X57" s="17" t="inlineStr">
        <is>
          <t>Find your way onto Watson Island and capture the Miami skyline from Joia Beach.</t>
        </is>
      </c>
      <c r="Y57" s="15" t="inlineStr">
        <is>
          <t>Website</t>
        </is>
      </c>
      <c r="Z57" s="15" t="inlineStr">
        <is>
          <t>Google Reviews</t>
        </is>
      </c>
      <c r="AA57" s="15" t="inlineStr">
        <is>
          <t>Instagram</t>
        </is>
      </c>
      <c r="AB57" s="12" t="inlineStr">
        <is>
          <t>Needs Sourcing</t>
        </is>
      </c>
      <c r="AC57" s="12" t="inlineStr">
        <is>
          <t>Needs Sourcing</t>
        </is>
      </c>
      <c r="AD57" s="12" t="inlineStr">
        <is>
          <t>Needs Sourcing</t>
        </is>
      </c>
      <c r="AE57" s="7" t="inlineStr">
        <is>
          <t>active</t>
        </is>
      </c>
      <c r="AF57" s="7" t="inlineStr">
        <is>
          <t>verified</t>
        </is>
      </c>
      <c r="AG57" s="7" t="inlineStr">
        <is>
          <t>active</t>
        </is>
      </c>
      <c r="AH57" s="13" t="inlineStr">
        <is>
          <t>2026-07-07</t>
        </is>
      </c>
      <c r="AI57" s="17" t="inlineStr">
        <is>
          <t>Decision maker: Marketing Lead; Contact: info@joiabeachmiami.com. No evidence of closure found; official site and Yelp/Tripadvisor listings show current operating hours. Neighborhood normalized to 'Watson Island' (input said 'Watson Island / Downtown' — Watson Island is a City of Miami-owned island, not technically Downtown, so kept as Watson Island).</t>
        </is>
      </c>
    </row>
    <row r="58" ht="79" customHeight="1">
      <c r="A58" s="6" t="inlineStr">
        <is>
          <t>208f2e94-7a65-5e42-b36d-4a2ea0992b46</t>
        </is>
      </c>
      <c r="B58" s="6" t="inlineStr">
        <is>
          <t>38309324-6a3f-5d8c-bc53-36939a4d3559</t>
        </is>
      </c>
      <c r="C58" s="6" t="inlineStr">
        <is>
          <t>dce8d898-6e8d-554a-9922-17d2c1326c0e</t>
        </is>
      </c>
      <c r="D58" s="6" t="inlineStr">
        <is>
          <t>jungle-island</t>
        </is>
      </c>
      <c r="E58" s="6" t="inlineStr">
        <is>
          <t>Jungle Island</t>
        </is>
      </c>
      <c r="F58" s="6" t="inlineStr">
        <is>
          <t>venue</t>
        </is>
      </c>
      <c r="G58" s="7" t="inlineStr">
        <is>
          <t>active</t>
        </is>
      </c>
      <c r="H58" s="6" t="inlineStr">
        <is>
          <t>info@jungleisland.com</t>
        </is>
      </c>
      <c r="I58" s="6" t="inlineStr">
        <is>
          <t>Jungle Island</t>
        </is>
      </c>
      <c r="J58" s="6" t="inlineStr">
        <is>
          <t>1111 Parrot Jungle Trail, Miami, FL 33132</t>
        </is>
      </c>
      <c r="K58" s="6" t="inlineStr">
        <is>
          <t>Watson Island</t>
        </is>
      </c>
      <c r="L58" s="6" t="inlineStr">
        <is>
          <t>Miami</t>
        </is>
      </c>
      <c r="M58" s="8" t="n">
        <v>25.786155</v>
      </c>
      <c r="N58" s="8" t="n">
        <v>-80.174993</v>
      </c>
      <c r="O58" s="9" t="inlineStr">
        <is>
          <t>View on Map</t>
        </is>
      </c>
      <c r="P58" s="6" t="n"/>
      <c r="Q58" s="6" t="inlineStr">
        <is>
          <t>Open daily</t>
        </is>
      </c>
      <c r="R58" s="6" t="inlineStr">
        <is>
          <t>The Wild Side of Watson Island</t>
        </is>
      </c>
      <c r="S58" s="6" t="inlineStr">
        <is>
          <t>outdoors</t>
        </is>
      </c>
      <c r="T58" s="6" t="inlineStr">
        <is>
          <t>medium</t>
        </is>
      </c>
      <c r="U58" s="10" t="n">
        <v>150</v>
      </c>
      <c r="V58" s="10" t="n">
        <v>75</v>
      </c>
      <c r="W58" s="6" t="inlineStr">
        <is>
          <t>15–20 min</t>
        </is>
      </c>
      <c r="X58" s="11" t="inlineStr">
        <is>
          <t>Explore Jungle Island and photograph the most tropical resident you meet.</t>
        </is>
      </c>
      <c r="Y58" s="9" t="inlineStr">
        <is>
          <t>Website</t>
        </is>
      </c>
      <c r="Z58" s="9" t="inlineStr">
        <is>
          <t>Google Reviews</t>
        </is>
      </c>
      <c r="AA58" s="9" t="inlineStr">
        <is>
          <t>Instagram</t>
        </is>
      </c>
      <c r="AB58" s="12" t="inlineStr">
        <is>
          <t>Needs Sourcing</t>
        </is>
      </c>
      <c r="AC58" s="12" t="inlineStr">
        <is>
          <t>Needs Sourcing</t>
        </is>
      </c>
      <c r="AD58" s="12" t="inlineStr">
        <is>
          <t>Needs Sourcing</t>
        </is>
      </c>
      <c r="AE58" s="7" t="inlineStr">
        <is>
          <t>active</t>
        </is>
      </c>
      <c r="AF58" s="7" t="inlineStr">
        <is>
          <t>verified</t>
        </is>
      </c>
      <c r="AG58" s="7" t="inlineStr">
        <is>
          <t>active</t>
        </is>
      </c>
      <c r="AH58" s="6" t="inlineStr">
        <is>
          <t>2026-07-07</t>
        </is>
      </c>
      <c r="AI58" s="11" t="inlineStr">
        <is>
          <t>Eco-adventure/zoo park on Watson Island, open daily as of July 2026. Note: city of Miami has approved a major redevelopment (condo towers by Terra Group/ESJ Capital Partners) for part of the site; park is expected to continue operating on a reduced footprint during/after redevelopment, but no closure date confirmed. Decision maker: Operations VP; contact: info@jungleisland.com.</t>
        </is>
      </c>
    </row>
    <row r="59" ht="49" customHeight="1">
      <c r="A59" s="13" t="inlineStr">
        <is>
          <t>7c60b065-a84e-58da-8f06-a3f4587a8cfa</t>
        </is>
      </c>
      <c r="B59" s="13" t="inlineStr">
        <is>
          <t>53c6867a-1cd4-5474-b0b5-d72e6d52b27a</t>
        </is>
      </c>
      <c r="C59" s="13" t="inlineStr">
        <is>
          <t>8723bb30-c43e-5dd1-9c7b-a55541c17b41</t>
        </is>
      </c>
      <c r="D59" s="13" t="inlineStr">
        <is>
          <t>1800-lucky-wynwood</t>
        </is>
      </c>
      <c r="E59" s="13" t="inlineStr">
        <is>
          <t>1-800-Lucky</t>
        </is>
      </c>
      <c r="F59" s="13" t="inlineStr">
        <is>
          <t>venue</t>
        </is>
      </c>
      <c r="G59" s="7" t="inlineStr">
        <is>
          <t>active</t>
        </is>
      </c>
      <c r="H59" s="13" t="inlineStr">
        <is>
          <t>info@1-800-lucky.com</t>
        </is>
      </c>
      <c r="I59" s="13" t="inlineStr">
        <is>
          <t>1-800-Lucky</t>
        </is>
      </c>
      <c r="J59" s="13" t="inlineStr">
        <is>
          <t>143 NW 23rd St, Miami, FL 33127</t>
        </is>
      </c>
      <c r="K59" s="13" t="inlineStr">
        <is>
          <t>Wynwood</t>
        </is>
      </c>
      <c r="L59" s="13" t="inlineStr">
        <is>
          <t>Miami</t>
        </is>
      </c>
      <c r="M59" s="14" t="n">
        <v>25.7993233</v>
      </c>
      <c r="N59" s="14" t="n">
        <v>-80.1979686</v>
      </c>
      <c r="O59" s="15" t="inlineStr">
        <is>
          <t>View on Map</t>
        </is>
      </c>
      <c r="P59" s="13" t="n"/>
      <c r="Q59" s="13" t="n"/>
      <c r="R59" s="13" t="inlineStr">
        <is>
          <t>Six Ways Lucky</t>
        </is>
      </c>
      <c r="S59" s="13" t="inlineStr">
        <is>
          <t>food</t>
        </is>
      </c>
      <c r="T59" s="13" t="inlineStr">
        <is>
          <t>medium</t>
        </is>
      </c>
      <c r="U59" s="16" t="n">
        <v>150</v>
      </c>
      <c r="V59" s="16" t="n">
        <v>75</v>
      </c>
      <c r="W59" s="13" t="inlineStr">
        <is>
          <t>10–15 min</t>
        </is>
      </c>
      <c r="X59" s="17" t="inlineStr">
        <is>
          <t>Walk the full hall and find all six food concepts. Photograph the counter or dish you'd try first.</t>
        </is>
      </c>
      <c r="Y59" s="15" t="inlineStr">
        <is>
          <t>Website</t>
        </is>
      </c>
      <c r="Z59" s="15" t="inlineStr">
        <is>
          <t>Google Reviews</t>
        </is>
      </c>
      <c r="AA59" s="15" t="inlineStr">
        <is>
          <t>Instagram</t>
        </is>
      </c>
      <c r="AB59" s="12" t="inlineStr">
        <is>
          <t>Needs Sourcing</t>
        </is>
      </c>
      <c r="AC59" s="12" t="inlineStr">
        <is>
          <t>Needs Sourcing</t>
        </is>
      </c>
      <c r="AD59" s="12" t="inlineStr">
        <is>
          <t>Needs Sourcing</t>
        </is>
      </c>
      <c r="AE59" s="7" t="inlineStr">
        <is>
          <t>active</t>
        </is>
      </c>
      <c r="AF59" s="7" t="inlineStr">
        <is>
          <t>verified</t>
        </is>
      </c>
      <c r="AG59" s="7" t="inlineStr">
        <is>
          <t>active</t>
        </is>
      </c>
      <c r="AH59" s="13" t="inlineStr">
        <is>
          <t>2026-07-07</t>
        </is>
      </c>
      <c r="AI59" s="17" t="inlineStr">
        <is>
          <t>Decision maker: Partner / Operator; Contact: info@1-800-lucky.com. Miami's first Asian food hall, 10,000 sq ft, 6 restaurant concepts. Active as of July 2026 (Yelp reviews updated July 2026, celebrated 8-year anniversary). No evidence of closure found.</t>
        </is>
      </c>
    </row>
    <row r="60" ht="34" customHeight="1">
      <c r="A60" s="6" t="inlineStr">
        <is>
          <t>c7725659-24d7-51eb-ba92-468c2622bbce</t>
        </is>
      </c>
      <c r="B60" s="6" t="inlineStr">
        <is>
          <t>0ec8d3e2-bb74-5eef-94f4-e6c6f6c6f9ea</t>
        </is>
      </c>
      <c r="C60" s="6" t="inlineStr">
        <is>
          <t>7fe7ecdd-5738-50cf-b188-9dd31c746ba4</t>
        </is>
      </c>
      <c r="D60" s="6" t="inlineStr">
        <is>
          <t>dantes-hifi-wynwood</t>
        </is>
      </c>
      <c r="E60" s="6" t="inlineStr">
        <is>
          <t>Dante's HiFi</t>
        </is>
      </c>
      <c r="F60" s="6" t="inlineStr">
        <is>
          <t>venue</t>
        </is>
      </c>
      <c r="G60" s="7" t="inlineStr">
        <is>
          <t>active</t>
        </is>
      </c>
      <c r="H60" s="6" t="inlineStr">
        <is>
          <t>info@danteshifi.com</t>
        </is>
      </c>
      <c r="I60" s="6" t="inlineStr">
        <is>
          <t>Dante's HiFi</t>
        </is>
      </c>
      <c r="J60" s="6" t="inlineStr">
        <is>
          <t>519 NW 26th St, Miami, FL 33127</t>
        </is>
      </c>
      <c r="K60" s="6" t="inlineStr">
        <is>
          <t>Wynwood</t>
        </is>
      </c>
      <c r="L60" s="6" t="inlineStr">
        <is>
          <t>Miami</t>
        </is>
      </c>
      <c r="M60" s="8" t="n">
        <v>25.8011178</v>
      </c>
      <c r="N60" s="8" t="n">
        <v>-80.2037057</v>
      </c>
      <c r="O60" s="9" t="inlineStr">
        <is>
          <t>View on Map</t>
        </is>
      </c>
      <c r="P60" s="6" t="n"/>
      <c r="Q60" s="6" t="n"/>
      <c r="R60" s="6" t="inlineStr">
        <is>
          <t>Drop the Needle</t>
        </is>
      </c>
      <c r="S60" s="6" t="inlineStr">
        <is>
          <t>nightlife</t>
        </is>
      </c>
      <c r="T60" s="6" t="inlineStr">
        <is>
          <t>medium</t>
        </is>
      </c>
      <c r="U60" s="10" t="n">
        <v>150</v>
      </c>
      <c r="V60" s="10" t="n">
        <v>75</v>
      </c>
      <c r="W60" s="6" t="inlineStr">
        <is>
          <t>15–20 min</t>
        </is>
      </c>
      <c r="X60" s="11" t="inlineStr">
        <is>
          <t>Find Dante's HiFi and stay through at least one full song with your phone down. Then capture one discreet photo of the night.</t>
        </is>
      </c>
      <c r="Y60" s="9" t="inlineStr">
        <is>
          <t>Website</t>
        </is>
      </c>
      <c r="Z60" s="9" t="inlineStr">
        <is>
          <t>Google Reviews</t>
        </is>
      </c>
      <c r="AA60" s="9" t="inlineStr">
        <is>
          <t>Instagram</t>
        </is>
      </c>
      <c r="AB60" s="12" t="inlineStr">
        <is>
          <t>Needs Sourcing</t>
        </is>
      </c>
      <c r="AC60" s="12" t="inlineStr">
        <is>
          <t>Needs Sourcing</t>
        </is>
      </c>
      <c r="AD60" s="12" t="inlineStr">
        <is>
          <t>Needs Sourcing</t>
        </is>
      </c>
      <c r="AE60" s="7" t="inlineStr">
        <is>
          <t>active</t>
        </is>
      </c>
      <c r="AF60" s="7" t="inlineStr">
        <is>
          <t>verified</t>
        </is>
      </c>
      <c r="AG60" s="7" t="inlineStr">
        <is>
          <t>active</t>
        </is>
      </c>
      <c r="AH60" s="6" t="inlineStr">
        <is>
          <t>2026-07-07</t>
        </is>
      </c>
      <c r="AI60" s="11" t="inlineStr">
        <is>
          <t>Decision maker: Creative Director; Contact: info@danteshifi.com. Vinyl listening bar/lounge in Wynwood.</t>
        </is>
      </c>
    </row>
    <row r="61" ht="34" customHeight="1">
      <c r="A61" s="13" t="inlineStr">
        <is>
          <t>46d7501e-7aca-586d-a099-b8af0607d8e0</t>
        </is>
      </c>
      <c r="B61" s="13" t="inlineStr">
        <is>
          <t>f297d4f8-9526-5c0d-9c43-c3dba53079a4</t>
        </is>
      </c>
      <c r="C61" s="13" t="inlineStr">
        <is>
          <t>34dbd889-65bc-584c-84e8-4ccd262de7da</t>
        </is>
      </c>
      <c r="D61" s="13" t="inlineStr">
        <is>
          <t>dasher-and-crank-wynwood</t>
        </is>
      </c>
      <c r="E61" s="13" t="inlineStr">
        <is>
          <t>Dasher &amp; Crank</t>
        </is>
      </c>
      <c r="F61" s="13" t="inlineStr">
        <is>
          <t>venue</t>
        </is>
      </c>
      <c r="G61" s="7" t="inlineStr">
        <is>
          <t>active</t>
        </is>
      </c>
      <c r="H61" s="13" t="inlineStr">
        <is>
          <t>info@dasherandcrank.com</t>
        </is>
      </c>
      <c r="I61" s="13" t="inlineStr">
        <is>
          <t>Dasher &amp; Crank</t>
        </is>
      </c>
      <c r="J61" s="13" t="inlineStr">
        <is>
          <t>2211 NW 2nd Ave, Miami, FL 33127</t>
        </is>
      </c>
      <c r="K61" s="13" t="inlineStr">
        <is>
          <t>Wynwood</t>
        </is>
      </c>
      <c r="L61" s="13" t="inlineStr">
        <is>
          <t>Miami</t>
        </is>
      </c>
      <c r="M61" s="14" t="n">
        <v>25.7982083</v>
      </c>
      <c r="N61" s="14" t="n">
        <v>-80.19908340000001</v>
      </c>
      <c r="O61" s="15" t="inlineStr">
        <is>
          <t>View on Map</t>
        </is>
      </c>
      <c r="P61" s="13" t="n"/>
      <c r="Q61" s="13" t="n"/>
      <c r="R61" s="13" t="inlineStr">
        <is>
          <t>The Dasher &amp; Crank Riddle</t>
        </is>
      </c>
      <c r="S61" s="13" t="inlineStr">
        <is>
          <t>food</t>
        </is>
      </c>
      <c r="T61" s="13" t="inlineStr">
        <is>
          <t>easy</t>
        </is>
      </c>
      <c r="U61" s="16" t="n">
        <v>50</v>
      </c>
      <c r="V61" s="16" t="n">
        <v>25</v>
      </c>
      <c r="W61" s="13" t="inlineStr">
        <is>
          <t>5–10 min</t>
        </is>
      </c>
      <c r="X61" s="17" t="inlineStr">
        <is>
          <t>Find Dasher &amp; Crank on NW 2nd Ave and solve the name — the menu board is a good place to start. Photograph your evidence.</t>
        </is>
      </c>
      <c r="Y61" s="15" t="inlineStr">
        <is>
          <t>Website</t>
        </is>
      </c>
      <c r="Z61" s="15" t="inlineStr">
        <is>
          <t>Google Reviews</t>
        </is>
      </c>
      <c r="AA61" s="15" t="inlineStr">
        <is>
          <t>Instagram</t>
        </is>
      </c>
      <c r="AB61" s="12" t="inlineStr">
        <is>
          <t>Needs Sourcing</t>
        </is>
      </c>
      <c r="AC61" s="12" t="inlineStr">
        <is>
          <t>Needs Sourcing</t>
        </is>
      </c>
      <c r="AD61" s="12" t="inlineStr">
        <is>
          <t>Needs Sourcing</t>
        </is>
      </c>
      <c r="AE61" s="7" t="inlineStr">
        <is>
          <t>active</t>
        </is>
      </c>
      <c r="AF61" s="7" t="inlineStr">
        <is>
          <t>verified</t>
        </is>
      </c>
      <c r="AG61" s="7" t="inlineStr">
        <is>
          <t>active</t>
        </is>
      </c>
      <c r="AH61" s="13" t="inlineStr">
        <is>
          <t>2026-07-07</t>
        </is>
      </c>
      <c r="AI61" s="17" t="inlineStr">
        <is>
          <t>Decision maker: Founder; Contact: info@dasherandcrank.com. Input Instagram handle @dasherandcrank not found; active handle is @dashercrank (~5K followers).</t>
        </is>
      </c>
    </row>
    <row r="62" ht="64" customHeight="1">
      <c r="A62" s="6" t="inlineStr">
        <is>
          <t>aecdaf4a-c974-5246-86d4-0bb90b1de150</t>
        </is>
      </c>
      <c r="B62" s="6" t="inlineStr">
        <is>
          <t>97c2c829-1eba-53c0-84e4-f02dfd40ef40</t>
        </is>
      </c>
      <c r="C62" s="6" t="inlineStr">
        <is>
          <t>a29163be-6b51-5842-9d44-b0d0deb646f6</t>
        </is>
      </c>
      <c r="D62" s="6" t="inlineStr">
        <is>
          <t>miam-cafe-wynwood</t>
        </is>
      </c>
      <c r="E62" s="6" t="inlineStr">
        <is>
          <t>Miam Café</t>
        </is>
      </c>
      <c r="F62" s="6" t="inlineStr">
        <is>
          <t>venue</t>
        </is>
      </c>
      <c r="G62" s="7" t="inlineStr">
        <is>
          <t>active</t>
        </is>
      </c>
      <c r="H62" s="6" t="inlineStr">
        <is>
          <t>info@miamcafe.com</t>
        </is>
      </c>
      <c r="I62" s="6" t="inlineStr">
        <is>
          <t>Miam Café - Wynwood</t>
        </is>
      </c>
      <c r="J62" s="6" t="inlineStr">
        <is>
          <t>2750 NW 3rd Ave, Miami, FL 33127</t>
        </is>
      </c>
      <c r="K62" s="6" t="inlineStr">
        <is>
          <t>Wynwood</t>
        </is>
      </c>
      <c r="L62" s="6" t="inlineStr">
        <is>
          <t>Miami</t>
        </is>
      </c>
      <c r="M62" s="8" t="n">
        <v>25.802408</v>
      </c>
      <c r="N62" s="8" t="n">
        <v>-80.2016552</v>
      </c>
      <c r="O62" s="9" t="inlineStr">
        <is>
          <t>View on Map</t>
        </is>
      </c>
      <c r="P62" s="6" t="n"/>
      <c r="Q62" s="6" t="n"/>
      <c r="R62" s="6" t="inlineStr">
        <is>
          <t>Say 'Miam'</t>
        </is>
      </c>
      <c r="S62" s="6" t="inlineStr">
        <is>
          <t>food</t>
        </is>
      </c>
      <c r="T62" s="6" t="inlineStr">
        <is>
          <t>easy</t>
        </is>
      </c>
      <c r="U62" s="10" t="n">
        <v>50</v>
      </c>
      <c r="V62" s="10" t="n">
        <v>25</v>
      </c>
      <c r="W62" s="6" t="inlineStr">
        <is>
          <t>5–10 min</t>
        </is>
      </c>
      <c r="X62" s="11" t="inlineStr">
        <is>
          <t>Find Miam Café and photograph the thing on the menu that makes you go 'miam.'</t>
        </is>
      </c>
      <c r="Y62" s="9" t="inlineStr">
        <is>
          <t>Website</t>
        </is>
      </c>
      <c r="Z62" s="9" t="inlineStr">
        <is>
          <t>Google Reviews</t>
        </is>
      </c>
      <c r="AA62" s="9" t="inlineStr">
        <is>
          <t>Instagram</t>
        </is>
      </c>
      <c r="AB62" s="12" t="inlineStr">
        <is>
          <t>Needs Sourcing</t>
        </is>
      </c>
      <c r="AC62" s="12" t="inlineStr">
        <is>
          <t>Needs Sourcing</t>
        </is>
      </c>
      <c r="AD62" s="12" t="inlineStr">
        <is>
          <t>Needs Sourcing</t>
        </is>
      </c>
      <c r="AE62" s="7" t="inlineStr">
        <is>
          <t>active</t>
        </is>
      </c>
      <c r="AF62" s="7" t="inlineStr">
        <is>
          <t>verified</t>
        </is>
      </c>
      <c r="AG62" s="7" t="inlineStr">
        <is>
          <t>active</t>
        </is>
      </c>
      <c r="AH62" s="6" t="inlineStr">
        <is>
          <t>2026-07-07</t>
        </is>
      </c>
      <c r="AI62" s="11" t="inlineStr">
        <is>
          <t>Decision maker: General Manager; Contact: info@miamcafe.com. Input Instagram handle @miamcafe not found exactly; active handle is @miam.cafe. Miam Café has additional locations in Coral Gables, Biscayne, Fort Lauderdale, and Miami Beach; Wynwood used here as it matches the input's stated neighborhood.</t>
        </is>
      </c>
    </row>
    <row r="63" ht="64" customHeight="1">
      <c r="A63" s="13" t="inlineStr">
        <is>
          <t>1194aef9-bc2f-5cc8-bbd9-e0c7a9e3e067</t>
        </is>
      </c>
      <c r="B63" s="13" t="inlineStr">
        <is>
          <t>062ce6b7-f9df-5c53-b7b0-de16fcc22eb8</t>
        </is>
      </c>
      <c r="C63" s="13" t="inlineStr">
        <is>
          <t>b7a5c65e-0674-54c8-9e2f-c17fe6402861</t>
        </is>
      </c>
      <c r="D63" s="13" t="inlineStr">
        <is>
          <t>panther-coffee-wynwood</t>
        </is>
      </c>
      <c r="E63" s="13" t="inlineStr">
        <is>
          <t>Panther Coffee</t>
        </is>
      </c>
      <c r="F63" s="13" t="inlineStr">
        <is>
          <t>venue</t>
        </is>
      </c>
      <c r="G63" s="7" t="inlineStr">
        <is>
          <t>active</t>
        </is>
      </c>
      <c r="H63" s="13" t="inlineStr">
        <is>
          <t>info@panthercoffee.com</t>
        </is>
      </c>
      <c r="I63" s="13" t="inlineStr">
        <is>
          <t>Panther Coffee - Wynwood</t>
        </is>
      </c>
      <c r="J63" s="13" t="inlineStr">
        <is>
          <t>2390 NW 2nd Ave, Miami, FL 33127</t>
        </is>
      </c>
      <c r="K63" s="13" t="inlineStr">
        <is>
          <t>Wynwood</t>
        </is>
      </c>
      <c r="L63" s="13" t="inlineStr">
        <is>
          <t>Miami</t>
        </is>
      </c>
      <c r="M63" s="14" t="n">
        <v>25.79994</v>
      </c>
      <c r="N63" s="14" t="n">
        <v>-80.199245</v>
      </c>
      <c r="O63" s="15" t="inlineStr">
        <is>
          <t>View on Map</t>
        </is>
      </c>
      <c r="P63" s="13" t="n"/>
      <c r="Q63" s="13" t="n"/>
      <c r="R63" s="13" t="inlineStr">
        <is>
          <t>The Wynwood Original</t>
        </is>
      </c>
      <c r="S63" s="13" t="inlineStr">
        <is>
          <t>food</t>
        </is>
      </c>
      <c r="T63" s="13" t="inlineStr">
        <is>
          <t>easy</t>
        </is>
      </c>
      <c r="U63" s="16" t="n">
        <v>50</v>
      </c>
      <c r="V63" s="16" t="n">
        <v>25</v>
      </c>
      <c r="W63" s="13" t="inlineStr">
        <is>
          <t>5–10 min</t>
        </is>
      </c>
      <c r="X63" s="17" t="inlineStr">
        <is>
          <t>Step inside Panther's Wynwood flagship, find the panther wherever it appears, and snap a photo with it.</t>
        </is>
      </c>
      <c r="Y63" s="15" t="inlineStr">
        <is>
          <t>Website</t>
        </is>
      </c>
      <c r="Z63" s="15" t="inlineStr">
        <is>
          <t>Google Reviews</t>
        </is>
      </c>
      <c r="AA63" s="15" t="inlineStr">
        <is>
          <t>Instagram</t>
        </is>
      </c>
      <c r="AB63" s="12" t="inlineStr">
        <is>
          <t>Needs Sourcing</t>
        </is>
      </c>
      <c r="AC63" s="12" t="inlineStr">
        <is>
          <t>Needs Sourcing</t>
        </is>
      </c>
      <c r="AD63" s="12" t="inlineStr">
        <is>
          <t>Needs Sourcing</t>
        </is>
      </c>
      <c r="AE63" s="7" t="inlineStr">
        <is>
          <t>active</t>
        </is>
      </c>
      <c r="AF63" s="7" t="inlineStr">
        <is>
          <t>verified</t>
        </is>
      </c>
      <c r="AG63" s="7" t="inlineStr">
        <is>
          <t>active</t>
        </is>
      </c>
      <c r="AH63" s="13" t="inlineStr">
        <is>
          <t>2026-07-07</t>
        </is>
      </c>
      <c r="AI63" s="17" t="inlineStr">
        <is>
          <t>Decision maker: General Manager / Founder; Contact: info@panthercoffee.com. Founded 2010 by Joel and Leticia Pollock; Wynwood flagship confirmed active with recent reviews (Yelp updated June 2026). Panther Coffee also has other MIA-area locations (Miami Beach location shows CLOSED on Yelp, unrelated to Wynwood flagship).</t>
        </is>
      </c>
    </row>
    <row r="64" ht="64" customHeight="1">
      <c r="A64" s="6" t="inlineStr">
        <is>
          <t>21902b20-b34e-5308-9fdb-7868829a3497</t>
        </is>
      </c>
      <c r="B64" s="6" t="inlineStr">
        <is>
          <t>1540d4fd-088d-5194-9463-47458122fca4</t>
        </is>
      </c>
      <c r="C64" s="6" t="inlineStr">
        <is>
          <t>ec81a30a-4798-5e3f-ab15-130b8a9504d3</t>
        </is>
      </c>
      <c r="D64" s="6" t="inlineStr">
        <is>
          <t>salty-donut-wynwood</t>
        </is>
      </c>
      <c r="E64" s="6" t="inlineStr">
        <is>
          <t>The Salty Donut</t>
        </is>
      </c>
      <c r="F64" s="6" t="inlineStr">
        <is>
          <t>venue</t>
        </is>
      </c>
      <c r="G64" s="7" t="inlineStr">
        <is>
          <t>active</t>
        </is>
      </c>
      <c r="H64" s="6" t="inlineStr">
        <is>
          <t>media@saltydonut.com</t>
        </is>
      </c>
      <c r="I64" s="6" t="inlineStr">
        <is>
          <t>The Salty Donut - Wynwood</t>
        </is>
      </c>
      <c r="J64" s="6" t="inlineStr">
        <is>
          <t>50 NW 24th St, Unit 106, Miami, FL 33127</t>
        </is>
      </c>
      <c r="K64" s="6" t="inlineStr">
        <is>
          <t>Wynwood</t>
        </is>
      </c>
      <c r="L64" s="6" t="inlineStr">
        <is>
          <t>Miami</t>
        </is>
      </c>
      <c r="M64" s="8" t="n">
        <v>25.7994517</v>
      </c>
      <c r="N64" s="8" t="n">
        <v>-80.1960754</v>
      </c>
      <c r="O64" s="9" t="inlineStr">
        <is>
          <t>View on Map</t>
        </is>
      </c>
      <c r="P64" s="6" t="n"/>
      <c r="Q64" s="6" t="n"/>
      <c r="R64" s="6" t="inlineStr">
        <is>
          <t>Donuts, Coffee, Vibes</t>
        </is>
      </c>
      <c r="S64" s="6" t="inlineStr">
        <is>
          <t>food</t>
        </is>
      </c>
      <c r="T64" s="6" t="inlineStr">
        <is>
          <t>easy</t>
        </is>
      </c>
      <c r="U64" s="10" t="n">
        <v>50</v>
      </c>
      <c r="V64" s="10" t="n">
        <v>25</v>
      </c>
      <c r="W64" s="6" t="inlineStr">
        <is>
          <t>5–10 min</t>
        </is>
      </c>
      <c r="X64" s="11" t="inlineStr">
        <is>
          <t>Find today's donut lineup and photograph the flavor you'd cross town for.</t>
        </is>
      </c>
      <c r="Y64" s="9" t="inlineStr">
        <is>
          <t>Website</t>
        </is>
      </c>
      <c r="Z64" s="9" t="inlineStr">
        <is>
          <t>Google Reviews</t>
        </is>
      </c>
      <c r="AA64" s="9" t="inlineStr">
        <is>
          <t>Instagram</t>
        </is>
      </c>
      <c r="AB64" s="12" t="inlineStr">
        <is>
          <t>Needs Sourcing</t>
        </is>
      </c>
      <c r="AC64" s="12" t="inlineStr">
        <is>
          <t>Needs Sourcing</t>
        </is>
      </c>
      <c r="AD64" s="12" t="inlineStr">
        <is>
          <t>Needs Sourcing</t>
        </is>
      </c>
      <c r="AE64" s="7" t="inlineStr">
        <is>
          <t>active</t>
        </is>
      </c>
      <c r="AF64" s="7" t="inlineStr">
        <is>
          <t>verified</t>
        </is>
      </c>
      <c r="AG64" s="7" t="inlineStr">
        <is>
          <t>active</t>
        </is>
      </c>
      <c r="AH64" s="6" t="inlineStr">
        <is>
          <t>2026-07-07</t>
        </is>
      </c>
      <c r="AI64" s="11" t="inlineStr">
        <is>
          <t>Decision maker: Marketing Director; Contact: media@saltydonut.com. Brand's parent site now uses 'THE SALTY' branding (saltydonut.com homepage says 'THE SALTY - DONUTS, COFFEE, VIBES') but Wynwood store still operates/is listed as 'The Salty Donut'; multiple other city locations exist. Yelp updated July 2026, confirmed active.</t>
        </is>
      </c>
    </row>
    <row r="65" ht="34" customHeight="1">
      <c r="A65" s="13" t="inlineStr">
        <is>
          <t>2ef644f5-f352-5856-a454-47070ed877f8</t>
        </is>
      </c>
      <c r="B65" s="13" t="inlineStr">
        <is>
          <t>fbca77fb-abae-5c1a-9a15-2ccaa331a278</t>
        </is>
      </c>
      <c r="C65" s="13" t="inlineStr">
        <is>
          <t>94351bfa-6108-526e-afc3-cdf02a54a8a2</t>
        </is>
      </c>
      <c r="D65" s="13" t="inlineStr">
        <is>
          <t>wynwood-walls</t>
        </is>
      </c>
      <c r="E65" s="13" t="inlineStr">
        <is>
          <t>Wynwood Walls</t>
        </is>
      </c>
      <c r="F65" s="13" t="inlineStr">
        <is>
          <t>venue</t>
        </is>
      </c>
      <c r="G65" s="7" t="inlineStr">
        <is>
          <t>active</t>
        </is>
      </c>
      <c r="H65" s="13" t="inlineStr">
        <is>
          <t>info@thewynwoodwalls.com</t>
        </is>
      </c>
      <c r="I65" s="13" t="inlineStr">
        <is>
          <t>Wynwood Walls</t>
        </is>
      </c>
      <c r="J65" s="13" t="inlineStr">
        <is>
          <t>2516 NW 2nd Ave, Miami, FL 33127</t>
        </is>
      </c>
      <c r="K65" s="13" t="inlineStr">
        <is>
          <t>Wynwood</t>
        </is>
      </c>
      <c r="L65" s="13" t="inlineStr">
        <is>
          <t>Miami</t>
        </is>
      </c>
      <c r="M65" s="14" t="n">
        <v>25.801018</v>
      </c>
      <c r="N65" s="14" t="n">
        <v>-80.199493</v>
      </c>
      <c r="O65" s="15" t="inlineStr">
        <is>
          <t>View on Map</t>
        </is>
      </c>
      <c r="P65" s="13" t="inlineStr">
        <is>
          <t>10:30 AM – 6:30 PM</t>
        </is>
      </c>
      <c r="Q65" s="13" t="inlineStr">
        <is>
          <t>Daily · timed entry tickets</t>
        </is>
      </c>
      <c r="R65" s="13" t="inlineStr">
        <is>
          <t>Walls That Talk</t>
        </is>
      </c>
      <c r="S65" s="13" t="inlineStr">
        <is>
          <t>art</t>
        </is>
      </c>
      <c r="T65" s="13" t="inlineStr">
        <is>
          <t>medium</t>
        </is>
      </c>
      <c r="U65" s="16" t="n">
        <v>150</v>
      </c>
      <c r="V65" s="16" t="n">
        <v>75</v>
      </c>
      <c r="W65" s="13" t="inlineStr">
        <is>
          <t>15–20 min</t>
        </is>
      </c>
      <c r="X65" s="17" t="inlineStr">
        <is>
          <t>Wander the outdoor galleries and find the mural that stops you mid-step. Photograph it, and hunt down the artist's name.</t>
        </is>
      </c>
      <c r="Y65" s="15" t="inlineStr">
        <is>
          <t>Website</t>
        </is>
      </c>
      <c r="Z65" s="15" t="inlineStr">
        <is>
          <t>Google Reviews</t>
        </is>
      </c>
      <c r="AA65" s="15" t="inlineStr">
        <is>
          <t>Instagram</t>
        </is>
      </c>
      <c r="AB65" s="12" t="inlineStr">
        <is>
          <t>Needs Sourcing</t>
        </is>
      </c>
      <c r="AC65" s="12" t="inlineStr">
        <is>
          <t>Needs Sourcing</t>
        </is>
      </c>
      <c r="AD65" s="12" t="inlineStr">
        <is>
          <t>Needs Sourcing</t>
        </is>
      </c>
      <c r="AE65" s="7" t="inlineStr">
        <is>
          <t>active</t>
        </is>
      </c>
      <c r="AF65" s="7" t="inlineStr">
        <is>
          <t>verified</t>
        </is>
      </c>
      <c r="AG65" s="7" t="inlineStr">
        <is>
          <t>active</t>
        </is>
      </c>
      <c r="AH65" s="13" t="inlineStr">
        <is>
          <t>2026-07-07</t>
        </is>
      </c>
      <c r="AI65" s="17" t="inlineStr">
        <is>
          <t>Decision maker: Director of Marketing; Contact: info@thewynwoodwalls.com. Outdoor street art museum, open daily 10:30am-6:30pm, timed/ticketed entry.</t>
        </is>
      </c>
    </row>
  </sheetData>
  <autoFilter ref="A3:AI65"/>
  <hyperlinks>
    <hyperlink xmlns:r="http://schemas.openxmlformats.org/officeDocument/2006/relationships" ref="O4" r:id="rId1"/>
    <hyperlink xmlns:r="http://schemas.openxmlformats.org/officeDocument/2006/relationships" ref="Y4" r:id="rId2"/>
    <hyperlink xmlns:r="http://schemas.openxmlformats.org/officeDocument/2006/relationships" ref="Z4" r:id="rId3"/>
    <hyperlink xmlns:r="http://schemas.openxmlformats.org/officeDocument/2006/relationships" ref="AA4" r:id="rId4"/>
    <hyperlink xmlns:r="http://schemas.openxmlformats.org/officeDocument/2006/relationships" ref="O5" r:id="rId5"/>
    <hyperlink xmlns:r="http://schemas.openxmlformats.org/officeDocument/2006/relationships" ref="Y5" r:id="rId6"/>
    <hyperlink xmlns:r="http://schemas.openxmlformats.org/officeDocument/2006/relationships" ref="Z5" r:id="rId7"/>
    <hyperlink xmlns:r="http://schemas.openxmlformats.org/officeDocument/2006/relationships" ref="AA5" r:id="rId8"/>
    <hyperlink xmlns:r="http://schemas.openxmlformats.org/officeDocument/2006/relationships" ref="O6" r:id="rId9"/>
    <hyperlink xmlns:r="http://schemas.openxmlformats.org/officeDocument/2006/relationships" ref="Y6" r:id="rId10"/>
    <hyperlink xmlns:r="http://schemas.openxmlformats.org/officeDocument/2006/relationships" ref="Z6" r:id="rId11"/>
    <hyperlink xmlns:r="http://schemas.openxmlformats.org/officeDocument/2006/relationships" ref="AA6" r:id="rId12"/>
    <hyperlink xmlns:r="http://schemas.openxmlformats.org/officeDocument/2006/relationships" ref="O7" r:id="rId13"/>
    <hyperlink xmlns:r="http://schemas.openxmlformats.org/officeDocument/2006/relationships" ref="Y7" r:id="rId14"/>
    <hyperlink xmlns:r="http://schemas.openxmlformats.org/officeDocument/2006/relationships" ref="Z7" r:id="rId15"/>
    <hyperlink xmlns:r="http://schemas.openxmlformats.org/officeDocument/2006/relationships" ref="AA7" r:id="rId16"/>
    <hyperlink xmlns:r="http://schemas.openxmlformats.org/officeDocument/2006/relationships" ref="O8" r:id="rId17"/>
    <hyperlink xmlns:r="http://schemas.openxmlformats.org/officeDocument/2006/relationships" ref="Y8" r:id="rId18"/>
    <hyperlink xmlns:r="http://schemas.openxmlformats.org/officeDocument/2006/relationships" ref="Z8" r:id="rId19"/>
    <hyperlink xmlns:r="http://schemas.openxmlformats.org/officeDocument/2006/relationships" ref="AA8" r:id="rId20"/>
    <hyperlink xmlns:r="http://schemas.openxmlformats.org/officeDocument/2006/relationships" ref="O9" r:id="rId21"/>
    <hyperlink xmlns:r="http://schemas.openxmlformats.org/officeDocument/2006/relationships" ref="Y9" r:id="rId22"/>
    <hyperlink xmlns:r="http://schemas.openxmlformats.org/officeDocument/2006/relationships" ref="Z9" r:id="rId23"/>
    <hyperlink xmlns:r="http://schemas.openxmlformats.org/officeDocument/2006/relationships" ref="O10" r:id="rId24"/>
    <hyperlink xmlns:r="http://schemas.openxmlformats.org/officeDocument/2006/relationships" ref="Y10" r:id="rId25"/>
    <hyperlink xmlns:r="http://schemas.openxmlformats.org/officeDocument/2006/relationships" ref="Z10" r:id="rId26"/>
    <hyperlink xmlns:r="http://schemas.openxmlformats.org/officeDocument/2006/relationships" ref="AA10" r:id="rId27"/>
    <hyperlink xmlns:r="http://schemas.openxmlformats.org/officeDocument/2006/relationships" ref="O11" r:id="rId28"/>
    <hyperlink xmlns:r="http://schemas.openxmlformats.org/officeDocument/2006/relationships" ref="Y11" r:id="rId29"/>
    <hyperlink xmlns:r="http://schemas.openxmlformats.org/officeDocument/2006/relationships" ref="Z11" r:id="rId30"/>
    <hyperlink xmlns:r="http://schemas.openxmlformats.org/officeDocument/2006/relationships" ref="AA11" r:id="rId31"/>
    <hyperlink xmlns:r="http://schemas.openxmlformats.org/officeDocument/2006/relationships" ref="O12" r:id="rId32"/>
    <hyperlink xmlns:r="http://schemas.openxmlformats.org/officeDocument/2006/relationships" ref="Y12" r:id="rId33"/>
    <hyperlink xmlns:r="http://schemas.openxmlformats.org/officeDocument/2006/relationships" ref="Z12" r:id="rId34"/>
    <hyperlink xmlns:r="http://schemas.openxmlformats.org/officeDocument/2006/relationships" ref="AA12" r:id="rId35"/>
    <hyperlink xmlns:r="http://schemas.openxmlformats.org/officeDocument/2006/relationships" ref="O13" r:id="rId36"/>
    <hyperlink xmlns:r="http://schemas.openxmlformats.org/officeDocument/2006/relationships" ref="Y13" r:id="rId37"/>
    <hyperlink xmlns:r="http://schemas.openxmlformats.org/officeDocument/2006/relationships" ref="Z13" r:id="rId38"/>
    <hyperlink xmlns:r="http://schemas.openxmlformats.org/officeDocument/2006/relationships" ref="AA13" r:id="rId39"/>
    <hyperlink xmlns:r="http://schemas.openxmlformats.org/officeDocument/2006/relationships" ref="O14" r:id="rId40"/>
    <hyperlink xmlns:r="http://schemas.openxmlformats.org/officeDocument/2006/relationships" ref="Y14" r:id="rId41"/>
    <hyperlink xmlns:r="http://schemas.openxmlformats.org/officeDocument/2006/relationships" ref="Z14" r:id="rId42"/>
    <hyperlink xmlns:r="http://schemas.openxmlformats.org/officeDocument/2006/relationships" ref="AA14" r:id="rId43"/>
    <hyperlink xmlns:r="http://schemas.openxmlformats.org/officeDocument/2006/relationships" ref="O15" r:id="rId44"/>
    <hyperlink xmlns:r="http://schemas.openxmlformats.org/officeDocument/2006/relationships" ref="Y15" r:id="rId45"/>
    <hyperlink xmlns:r="http://schemas.openxmlformats.org/officeDocument/2006/relationships" ref="Z15" r:id="rId46"/>
    <hyperlink xmlns:r="http://schemas.openxmlformats.org/officeDocument/2006/relationships" ref="AA15" r:id="rId47"/>
    <hyperlink xmlns:r="http://schemas.openxmlformats.org/officeDocument/2006/relationships" ref="O16" r:id="rId48"/>
    <hyperlink xmlns:r="http://schemas.openxmlformats.org/officeDocument/2006/relationships" ref="Y16" r:id="rId49"/>
    <hyperlink xmlns:r="http://schemas.openxmlformats.org/officeDocument/2006/relationships" ref="Z16" r:id="rId50"/>
    <hyperlink xmlns:r="http://schemas.openxmlformats.org/officeDocument/2006/relationships" ref="AA16" r:id="rId51"/>
    <hyperlink xmlns:r="http://schemas.openxmlformats.org/officeDocument/2006/relationships" ref="O17" r:id="rId52"/>
    <hyperlink xmlns:r="http://schemas.openxmlformats.org/officeDocument/2006/relationships" ref="Y17" r:id="rId53"/>
    <hyperlink xmlns:r="http://schemas.openxmlformats.org/officeDocument/2006/relationships" ref="Z17" r:id="rId54"/>
    <hyperlink xmlns:r="http://schemas.openxmlformats.org/officeDocument/2006/relationships" ref="AA17" r:id="rId55"/>
    <hyperlink xmlns:r="http://schemas.openxmlformats.org/officeDocument/2006/relationships" ref="O18" r:id="rId56"/>
    <hyperlink xmlns:r="http://schemas.openxmlformats.org/officeDocument/2006/relationships" ref="Y18" r:id="rId57"/>
    <hyperlink xmlns:r="http://schemas.openxmlformats.org/officeDocument/2006/relationships" ref="Z18" r:id="rId58"/>
    <hyperlink xmlns:r="http://schemas.openxmlformats.org/officeDocument/2006/relationships" ref="AA18" r:id="rId59"/>
    <hyperlink xmlns:r="http://schemas.openxmlformats.org/officeDocument/2006/relationships" ref="O19" r:id="rId60"/>
    <hyperlink xmlns:r="http://schemas.openxmlformats.org/officeDocument/2006/relationships" ref="Y19" r:id="rId61"/>
    <hyperlink xmlns:r="http://schemas.openxmlformats.org/officeDocument/2006/relationships" ref="Z19" r:id="rId62"/>
    <hyperlink xmlns:r="http://schemas.openxmlformats.org/officeDocument/2006/relationships" ref="AA19" r:id="rId63"/>
    <hyperlink xmlns:r="http://schemas.openxmlformats.org/officeDocument/2006/relationships" ref="O20" r:id="rId64"/>
    <hyperlink xmlns:r="http://schemas.openxmlformats.org/officeDocument/2006/relationships" ref="Y20" r:id="rId65"/>
    <hyperlink xmlns:r="http://schemas.openxmlformats.org/officeDocument/2006/relationships" ref="Z20" r:id="rId66"/>
    <hyperlink xmlns:r="http://schemas.openxmlformats.org/officeDocument/2006/relationships" ref="AA20" r:id="rId67"/>
    <hyperlink xmlns:r="http://schemas.openxmlformats.org/officeDocument/2006/relationships" ref="O21" r:id="rId68"/>
    <hyperlink xmlns:r="http://schemas.openxmlformats.org/officeDocument/2006/relationships" ref="Y21" r:id="rId69"/>
    <hyperlink xmlns:r="http://schemas.openxmlformats.org/officeDocument/2006/relationships" ref="Z21" r:id="rId70"/>
    <hyperlink xmlns:r="http://schemas.openxmlformats.org/officeDocument/2006/relationships" ref="AA21" r:id="rId71"/>
    <hyperlink xmlns:r="http://schemas.openxmlformats.org/officeDocument/2006/relationships" ref="O22" r:id="rId72"/>
    <hyperlink xmlns:r="http://schemas.openxmlformats.org/officeDocument/2006/relationships" ref="Y22" r:id="rId73"/>
    <hyperlink xmlns:r="http://schemas.openxmlformats.org/officeDocument/2006/relationships" ref="Z22" r:id="rId74"/>
    <hyperlink xmlns:r="http://schemas.openxmlformats.org/officeDocument/2006/relationships" ref="AA22" r:id="rId75"/>
    <hyperlink xmlns:r="http://schemas.openxmlformats.org/officeDocument/2006/relationships" ref="O23" r:id="rId76"/>
    <hyperlink xmlns:r="http://schemas.openxmlformats.org/officeDocument/2006/relationships" ref="Y23" r:id="rId77"/>
    <hyperlink xmlns:r="http://schemas.openxmlformats.org/officeDocument/2006/relationships" ref="Z23" r:id="rId78"/>
    <hyperlink xmlns:r="http://schemas.openxmlformats.org/officeDocument/2006/relationships" ref="AA23" r:id="rId79"/>
    <hyperlink xmlns:r="http://schemas.openxmlformats.org/officeDocument/2006/relationships" ref="O24" r:id="rId80"/>
    <hyperlink xmlns:r="http://schemas.openxmlformats.org/officeDocument/2006/relationships" ref="Y24" r:id="rId81"/>
    <hyperlink xmlns:r="http://schemas.openxmlformats.org/officeDocument/2006/relationships" ref="Z24" r:id="rId82"/>
    <hyperlink xmlns:r="http://schemas.openxmlformats.org/officeDocument/2006/relationships" ref="AA24" r:id="rId83"/>
    <hyperlink xmlns:r="http://schemas.openxmlformats.org/officeDocument/2006/relationships" ref="O25" r:id="rId84"/>
    <hyperlink xmlns:r="http://schemas.openxmlformats.org/officeDocument/2006/relationships" ref="Y25" r:id="rId85"/>
    <hyperlink xmlns:r="http://schemas.openxmlformats.org/officeDocument/2006/relationships" ref="Z25" r:id="rId86"/>
    <hyperlink xmlns:r="http://schemas.openxmlformats.org/officeDocument/2006/relationships" ref="AA25" r:id="rId87"/>
    <hyperlink xmlns:r="http://schemas.openxmlformats.org/officeDocument/2006/relationships" ref="O26" r:id="rId88"/>
    <hyperlink xmlns:r="http://schemas.openxmlformats.org/officeDocument/2006/relationships" ref="Y26" r:id="rId89"/>
    <hyperlink xmlns:r="http://schemas.openxmlformats.org/officeDocument/2006/relationships" ref="Z26" r:id="rId90"/>
    <hyperlink xmlns:r="http://schemas.openxmlformats.org/officeDocument/2006/relationships" ref="AA26" r:id="rId91"/>
    <hyperlink xmlns:r="http://schemas.openxmlformats.org/officeDocument/2006/relationships" ref="O27" r:id="rId92"/>
    <hyperlink xmlns:r="http://schemas.openxmlformats.org/officeDocument/2006/relationships" ref="Y27" r:id="rId93"/>
    <hyperlink xmlns:r="http://schemas.openxmlformats.org/officeDocument/2006/relationships" ref="Z27" r:id="rId94"/>
    <hyperlink xmlns:r="http://schemas.openxmlformats.org/officeDocument/2006/relationships" ref="AA27" r:id="rId95"/>
    <hyperlink xmlns:r="http://schemas.openxmlformats.org/officeDocument/2006/relationships" ref="O28" r:id="rId96"/>
    <hyperlink xmlns:r="http://schemas.openxmlformats.org/officeDocument/2006/relationships" ref="Y28" r:id="rId97"/>
    <hyperlink xmlns:r="http://schemas.openxmlformats.org/officeDocument/2006/relationships" ref="Z28" r:id="rId98"/>
    <hyperlink xmlns:r="http://schemas.openxmlformats.org/officeDocument/2006/relationships" ref="AA28" r:id="rId99"/>
    <hyperlink xmlns:r="http://schemas.openxmlformats.org/officeDocument/2006/relationships" ref="O29" r:id="rId100"/>
    <hyperlink xmlns:r="http://schemas.openxmlformats.org/officeDocument/2006/relationships" ref="Y29" r:id="rId101"/>
    <hyperlink xmlns:r="http://schemas.openxmlformats.org/officeDocument/2006/relationships" ref="Z29" r:id="rId102"/>
    <hyperlink xmlns:r="http://schemas.openxmlformats.org/officeDocument/2006/relationships" ref="AA29" r:id="rId103"/>
    <hyperlink xmlns:r="http://schemas.openxmlformats.org/officeDocument/2006/relationships" ref="O30" r:id="rId104"/>
    <hyperlink xmlns:r="http://schemas.openxmlformats.org/officeDocument/2006/relationships" ref="Y30" r:id="rId105"/>
    <hyperlink xmlns:r="http://schemas.openxmlformats.org/officeDocument/2006/relationships" ref="Z30" r:id="rId106"/>
    <hyperlink xmlns:r="http://schemas.openxmlformats.org/officeDocument/2006/relationships" ref="AA30" r:id="rId107"/>
    <hyperlink xmlns:r="http://schemas.openxmlformats.org/officeDocument/2006/relationships" ref="O31" r:id="rId108"/>
    <hyperlink xmlns:r="http://schemas.openxmlformats.org/officeDocument/2006/relationships" ref="Y31" r:id="rId109"/>
    <hyperlink xmlns:r="http://schemas.openxmlformats.org/officeDocument/2006/relationships" ref="Z31" r:id="rId110"/>
    <hyperlink xmlns:r="http://schemas.openxmlformats.org/officeDocument/2006/relationships" ref="AA31" r:id="rId111"/>
    <hyperlink xmlns:r="http://schemas.openxmlformats.org/officeDocument/2006/relationships" ref="O32" r:id="rId112"/>
    <hyperlink xmlns:r="http://schemas.openxmlformats.org/officeDocument/2006/relationships" ref="Y32" r:id="rId113"/>
    <hyperlink xmlns:r="http://schemas.openxmlformats.org/officeDocument/2006/relationships" ref="Z32" r:id="rId114"/>
    <hyperlink xmlns:r="http://schemas.openxmlformats.org/officeDocument/2006/relationships" ref="AA32" r:id="rId115"/>
    <hyperlink xmlns:r="http://schemas.openxmlformats.org/officeDocument/2006/relationships" ref="O33" r:id="rId116"/>
    <hyperlink xmlns:r="http://schemas.openxmlformats.org/officeDocument/2006/relationships" ref="Y33" r:id="rId117"/>
    <hyperlink xmlns:r="http://schemas.openxmlformats.org/officeDocument/2006/relationships" ref="Z33" r:id="rId118"/>
    <hyperlink xmlns:r="http://schemas.openxmlformats.org/officeDocument/2006/relationships" ref="AA33" r:id="rId119"/>
    <hyperlink xmlns:r="http://schemas.openxmlformats.org/officeDocument/2006/relationships" ref="O34" r:id="rId120"/>
    <hyperlink xmlns:r="http://schemas.openxmlformats.org/officeDocument/2006/relationships" ref="Y34" r:id="rId121"/>
    <hyperlink xmlns:r="http://schemas.openxmlformats.org/officeDocument/2006/relationships" ref="Z34" r:id="rId122"/>
    <hyperlink xmlns:r="http://schemas.openxmlformats.org/officeDocument/2006/relationships" ref="AA34" r:id="rId123"/>
    <hyperlink xmlns:r="http://schemas.openxmlformats.org/officeDocument/2006/relationships" ref="O35" r:id="rId124"/>
    <hyperlink xmlns:r="http://schemas.openxmlformats.org/officeDocument/2006/relationships" ref="Y35" r:id="rId125"/>
    <hyperlink xmlns:r="http://schemas.openxmlformats.org/officeDocument/2006/relationships" ref="Z35" r:id="rId126"/>
    <hyperlink xmlns:r="http://schemas.openxmlformats.org/officeDocument/2006/relationships" ref="AA35" r:id="rId127"/>
    <hyperlink xmlns:r="http://schemas.openxmlformats.org/officeDocument/2006/relationships" ref="O36" r:id="rId128"/>
    <hyperlink xmlns:r="http://schemas.openxmlformats.org/officeDocument/2006/relationships" ref="Y36" r:id="rId129"/>
    <hyperlink xmlns:r="http://schemas.openxmlformats.org/officeDocument/2006/relationships" ref="Z36" r:id="rId130"/>
    <hyperlink xmlns:r="http://schemas.openxmlformats.org/officeDocument/2006/relationships" ref="AA36" r:id="rId131"/>
    <hyperlink xmlns:r="http://schemas.openxmlformats.org/officeDocument/2006/relationships" ref="O37" r:id="rId132"/>
    <hyperlink xmlns:r="http://schemas.openxmlformats.org/officeDocument/2006/relationships" ref="Y37" r:id="rId133"/>
    <hyperlink xmlns:r="http://schemas.openxmlformats.org/officeDocument/2006/relationships" ref="Z37" r:id="rId134"/>
    <hyperlink xmlns:r="http://schemas.openxmlformats.org/officeDocument/2006/relationships" ref="AA37" r:id="rId135"/>
    <hyperlink xmlns:r="http://schemas.openxmlformats.org/officeDocument/2006/relationships" ref="O38" r:id="rId136"/>
    <hyperlink xmlns:r="http://schemas.openxmlformats.org/officeDocument/2006/relationships" ref="Y38" r:id="rId137"/>
    <hyperlink xmlns:r="http://schemas.openxmlformats.org/officeDocument/2006/relationships" ref="Z38" r:id="rId138"/>
    <hyperlink xmlns:r="http://schemas.openxmlformats.org/officeDocument/2006/relationships" ref="AA38" r:id="rId139"/>
    <hyperlink xmlns:r="http://schemas.openxmlformats.org/officeDocument/2006/relationships" ref="O39" r:id="rId140"/>
    <hyperlink xmlns:r="http://schemas.openxmlformats.org/officeDocument/2006/relationships" ref="Y39" r:id="rId141"/>
    <hyperlink xmlns:r="http://schemas.openxmlformats.org/officeDocument/2006/relationships" ref="Z39" r:id="rId142"/>
    <hyperlink xmlns:r="http://schemas.openxmlformats.org/officeDocument/2006/relationships" ref="AA39" r:id="rId143"/>
    <hyperlink xmlns:r="http://schemas.openxmlformats.org/officeDocument/2006/relationships" ref="O40" r:id="rId144"/>
    <hyperlink xmlns:r="http://schemas.openxmlformats.org/officeDocument/2006/relationships" ref="Y40" r:id="rId145"/>
    <hyperlink xmlns:r="http://schemas.openxmlformats.org/officeDocument/2006/relationships" ref="Z40" r:id="rId146"/>
    <hyperlink xmlns:r="http://schemas.openxmlformats.org/officeDocument/2006/relationships" ref="AA40" r:id="rId147"/>
    <hyperlink xmlns:r="http://schemas.openxmlformats.org/officeDocument/2006/relationships" ref="O41" r:id="rId148"/>
    <hyperlink xmlns:r="http://schemas.openxmlformats.org/officeDocument/2006/relationships" ref="Y41" r:id="rId149"/>
    <hyperlink xmlns:r="http://schemas.openxmlformats.org/officeDocument/2006/relationships" ref="Z41" r:id="rId150"/>
    <hyperlink xmlns:r="http://schemas.openxmlformats.org/officeDocument/2006/relationships" ref="AA41" r:id="rId151"/>
    <hyperlink xmlns:r="http://schemas.openxmlformats.org/officeDocument/2006/relationships" ref="O42" r:id="rId152"/>
    <hyperlink xmlns:r="http://schemas.openxmlformats.org/officeDocument/2006/relationships" ref="Y42" r:id="rId153"/>
    <hyperlink xmlns:r="http://schemas.openxmlformats.org/officeDocument/2006/relationships" ref="Z42" r:id="rId154"/>
    <hyperlink xmlns:r="http://schemas.openxmlformats.org/officeDocument/2006/relationships" ref="AA42" r:id="rId155"/>
    <hyperlink xmlns:r="http://schemas.openxmlformats.org/officeDocument/2006/relationships" ref="O43" r:id="rId156"/>
    <hyperlink xmlns:r="http://schemas.openxmlformats.org/officeDocument/2006/relationships" ref="Y43" r:id="rId157"/>
    <hyperlink xmlns:r="http://schemas.openxmlformats.org/officeDocument/2006/relationships" ref="Z43" r:id="rId158"/>
    <hyperlink xmlns:r="http://schemas.openxmlformats.org/officeDocument/2006/relationships" ref="AA43" r:id="rId159"/>
    <hyperlink xmlns:r="http://schemas.openxmlformats.org/officeDocument/2006/relationships" ref="O44" r:id="rId160"/>
    <hyperlink xmlns:r="http://schemas.openxmlformats.org/officeDocument/2006/relationships" ref="Y44" r:id="rId161"/>
    <hyperlink xmlns:r="http://schemas.openxmlformats.org/officeDocument/2006/relationships" ref="Z44" r:id="rId162"/>
    <hyperlink xmlns:r="http://schemas.openxmlformats.org/officeDocument/2006/relationships" ref="AA44" r:id="rId163"/>
    <hyperlink xmlns:r="http://schemas.openxmlformats.org/officeDocument/2006/relationships" ref="O45" r:id="rId164"/>
    <hyperlink xmlns:r="http://schemas.openxmlformats.org/officeDocument/2006/relationships" ref="Y45" r:id="rId165"/>
    <hyperlink xmlns:r="http://schemas.openxmlformats.org/officeDocument/2006/relationships" ref="Z45" r:id="rId166"/>
    <hyperlink xmlns:r="http://schemas.openxmlformats.org/officeDocument/2006/relationships" ref="AA45" r:id="rId167"/>
    <hyperlink xmlns:r="http://schemas.openxmlformats.org/officeDocument/2006/relationships" ref="O46" r:id="rId168"/>
    <hyperlink xmlns:r="http://schemas.openxmlformats.org/officeDocument/2006/relationships" ref="Y46" r:id="rId169"/>
    <hyperlink xmlns:r="http://schemas.openxmlformats.org/officeDocument/2006/relationships" ref="Z46" r:id="rId170"/>
    <hyperlink xmlns:r="http://schemas.openxmlformats.org/officeDocument/2006/relationships" ref="AA46" r:id="rId171"/>
    <hyperlink xmlns:r="http://schemas.openxmlformats.org/officeDocument/2006/relationships" ref="O47" r:id="rId172"/>
    <hyperlink xmlns:r="http://schemas.openxmlformats.org/officeDocument/2006/relationships" ref="Y47" r:id="rId173"/>
    <hyperlink xmlns:r="http://schemas.openxmlformats.org/officeDocument/2006/relationships" ref="Z47" r:id="rId174"/>
    <hyperlink xmlns:r="http://schemas.openxmlformats.org/officeDocument/2006/relationships" ref="AA47" r:id="rId175"/>
    <hyperlink xmlns:r="http://schemas.openxmlformats.org/officeDocument/2006/relationships" ref="O48" r:id="rId176"/>
    <hyperlink xmlns:r="http://schemas.openxmlformats.org/officeDocument/2006/relationships" ref="Y48" r:id="rId177"/>
    <hyperlink xmlns:r="http://schemas.openxmlformats.org/officeDocument/2006/relationships" ref="Z48" r:id="rId178"/>
    <hyperlink xmlns:r="http://schemas.openxmlformats.org/officeDocument/2006/relationships" ref="AA48" r:id="rId179"/>
    <hyperlink xmlns:r="http://schemas.openxmlformats.org/officeDocument/2006/relationships" ref="O49" r:id="rId180"/>
    <hyperlink xmlns:r="http://schemas.openxmlformats.org/officeDocument/2006/relationships" ref="Y49" r:id="rId181"/>
    <hyperlink xmlns:r="http://schemas.openxmlformats.org/officeDocument/2006/relationships" ref="Z49" r:id="rId182"/>
    <hyperlink xmlns:r="http://schemas.openxmlformats.org/officeDocument/2006/relationships" ref="AA49" r:id="rId183"/>
    <hyperlink xmlns:r="http://schemas.openxmlformats.org/officeDocument/2006/relationships" ref="O50" r:id="rId184"/>
    <hyperlink xmlns:r="http://schemas.openxmlformats.org/officeDocument/2006/relationships" ref="Y50" r:id="rId185"/>
    <hyperlink xmlns:r="http://schemas.openxmlformats.org/officeDocument/2006/relationships" ref="Z50" r:id="rId186"/>
    <hyperlink xmlns:r="http://schemas.openxmlformats.org/officeDocument/2006/relationships" ref="AA50" r:id="rId187"/>
    <hyperlink xmlns:r="http://schemas.openxmlformats.org/officeDocument/2006/relationships" ref="O51" r:id="rId188"/>
    <hyperlink xmlns:r="http://schemas.openxmlformats.org/officeDocument/2006/relationships" ref="Y51" r:id="rId189"/>
    <hyperlink xmlns:r="http://schemas.openxmlformats.org/officeDocument/2006/relationships" ref="Z51" r:id="rId190"/>
    <hyperlink xmlns:r="http://schemas.openxmlformats.org/officeDocument/2006/relationships" ref="AA51" r:id="rId191"/>
    <hyperlink xmlns:r="http://schemas.openxmlformats.org/officeDocument/2006/relationships" ref="O52" r:id="rId192"/>
    <hyperlink xmlns:r="http://schemas.openxmlformats.org/officeDocument/2006/relationships" ref="Y52" r:id="rId193"/>
    <hyperlink xmlns:r="http://schemas.openxmlformats.org/officeDocument/2006/relationships" ref="Z52" r:id="rId194"/>
    <hyperlink xmlns:r="http://schemas.openxmlformats.org/officeDocument/2006/relationships" ref="AA52" r:id="rId195"/>
    <hyperlink xmlns:r="http://schemas.openxmlformats.org/officeDocument/2006/relationships" ref="O53" r:id="rId196"/>
    <hyperlink xmlns:r="http://schemas.openxmlformats.org/officeDocument/2006/relationships" ref="Y53" r:id="rId197"/>
    <hyperlink xmlns:r="http://schemas.openxmlformats.org/officeDocument/2006/relationships" ref="Z53" r:id="rId198"/>
    <hyperlink xmlns:r="http://schemas.openxmlformats.org/officeDocument/2006/relationships" ref="AA53" r:id="rId199"/>
    <hyperlink xmlns:r="http://schemas.openxmlformats.org/officeDocument/2006/relationships" ref="O54" r:id="rId200"/>
    <hyperlink xmlns:r="http://schemas.openxmlformats.org/officeDocument/2006/relationships" ref="Y54" r:id="rId201"/>
    <hyperlink xmlns:r="http://schemas.openxmlformats.org/officeDocument/2006/relationships" ref="Z54" r:id="rId202"/>
    <hyperlink xmlns:r="http://schemas.openxmlformats.org/officeDocument/2006/relationships" ref="AA54" r:id="rId203"/>
    <hyperlink xmlns:r="http://schemas.openxmlformats.org/officeDocument/2006/relationships" ref="O55" r:id="rId204"/>
    <hyperlink xmlns:r="http://schemas.openxmlformats.org/officeDocument/2006/relationships" ref="Y55" r:id="rId205"/>
    <hyperlink xmlns:r="http://schemas.openxmlformats.org/officeDocument/2006/relationships" ref="Z55" r:id="rId206"/>
    <hyperlink xmlns:r="http://schemas.openxmlformats.org/officeDocument/2006/relationships" ref="AA55" r:id="rId207"/>
    <hyperlink xmlns:r="http://schemas.openxmlformats.org/officeDocument/2006/relationships" ref="O56" r:id="rId208"/>
    <hyperlink xmlns:r="http://schemas.openxmlformats.org/officeDocument/2006/relationships" ref="Y56" r:id="rId209"/>
    <hyperlink xmlns:r="http://schemas.openxmlformats.org/officeDocument/2006/relationships" ref="Z56" r:id="rId210"/>
    <hyperlink xmlns:r="http://schemas.openxmlformats.org/officeDocument/2006/relationships" ref="AA56" r:id="rId211"/>
    <hyperlink xmlns:r="http://schemas.openxmlformats.org/officeDocument/2006/relationships" ref="O57" r:id="rId212"/>
    <hyperlink xmlns:r="http://schemas.openxmlformats.org/officeDocument/2006/relationships" ref="Y57" r:id="rId213"/>
    <hyperlink xmlns:r="http://schemas.openxmlformats.org/officeDocument/2006/relationships" ref="Z57" r:id="rId214"/>
    <hyperlink xmlns:r="http://schemas.openxmlformats.org/officeDocument/2006/relationships" ref="AA57" r:id="rId215"/>
    <hyperlink xmlns:r="http://schemas.openxmlformats.org/officeDocument/2006/relationships" ref="O58" r:id="rId216"/>
    <hyperlink xmlns:r="http://schemas.openxmlformats.org/officeDocument/2006/relationships" ref="Y58" r:id="rId217"/>
    <hyperlink xmlns:r="http://schemas.openxmlformats.org/officeDocument/2006/relationships" ref="Z58" r:id="rId218"/>
    <hyperlink xmlns:r="http://schemas.openxmlformats.org/officeDocument/2006/relationships" ref="AA58" r:id="rId219"/>
    <hyperlink xmlns:r="http://schemas.openxmlformats.org/officeDocument/2006/relationships" ref="O59" r:id="rId220"/>
    <hyperlink xmlns:r="http://schemas.openxmlformats.org/officeDocument/2006/relationships" ref="Y59" r:id="rId221"/>
    <hyperlink xmlns:r="http://schemas.openxmlformats.org/officeDocument/2006/relationships" ref="Z59" r:id="rId222"/>
    <hyperlink xmlns:r="http://schemas.openxmlformats.org/officeDocument/2006/relationships" ref="AA59" r:id="rId223"/>
    <hyperlink xmlns:r="http://schemas.openxmlformats.org/officeDocument/2006/relationships" ref="O60" r:id="rId224"/>
    <hyperlink xmlns:r="http://schemas.openxmlformats.org/officeDocument/2006/relationships" ref="Y60" r:id="rId225"/>
    <hyperlink xmlns:r="http://schemas.openxmlformats.org/officeDocument/2006/relationships" ref="Z60" r:id="rId226"/>
    <hyperlink xmlns:r="http://schemas.openxmlformats.org/officeDocument/2006/relationships" ref="AA60" r:id="rId227"/>
    <hyperlink xmlns:r="http://schemas.openxmlformats.org/officeDocument/2006/relationships" ref="O61" r:id="rId228"/>
    <hyperlink xmlns:r="http://schemas.openxmlformats.org/officeDocument/2006/relationships" ref="Y61" r:id="rId229"/>
    <hyperlink xmlns:r="http://schemas.openxmlformats.org/officeDocument/2006/relationships" ref="Z61" r:id="rId230"/>
    <hyperlink xmlns:r="http://schemas.openxmlformats.org/officeDocument/2006/relationships" ref="AA61" r:id="rId231"/>
    <hyperlink xmlns:r="http://schemas.openxmlformats.org/officeDocument/2006/relationships" ref="O62" r:id="rId232"/>
    <hyperlink xmlns:r="http://schemas.openxmlformats.org/officeDocument/2006/relationships" ref="Y62" r:id="rId233"/>
    <hyperlink xmlns:r="http://schemas.openxmlformats.org/officeDocument/2006/relationships" ref="Z62" r:id="rId234"/>
    <hyperlink xmlns:r="http://schemas.openxmlformats.org/officeDocument/2006/relationships" ref="AA62" r:id="rId235"/>
    <hyperlink xmlns:r="http://schemas.openxmlformats.org/officeDocument/2006/relationships" ref="O63" r:id="rId236"/>
    <hyperlink xmlns:r="http://schemas.openxmlformats.org/officeDocument/2006/relationships" ref="Y63" r:id="rId237"/>
    <hyperlink xmlns:r="http://schemas.openxmlformats.org/officeDocument/2006/relationships" ref="Z63" r:id="rId238"/>
    <hyperlink xmlns:r="http://schemas.openxmlformats.org/officeDocument/2006/relationships" ref="AA63" r:id="rId239"/>
    <hyperlink xmlns:r="http://schemas.openxmlformats.org/officeDocument/2006/relationships" ref="O64" r:id="rId240"/>
    <hyperlink xmlns:r="http://schemas.openxmlformats.org/officeDocument/2006/relationships" ref="Y64" r:id="rId241"/>
    <hyperlink xmlns:r="http://schemas.openxmlformats.org/officeDocument/2006/relationships" ref="Z64" r:id="rId242"/>
    <hyperlink xmlns:r="http://schemas.openxmlformats.org/officeDocument/2006/relationships" ref="AA64" r:id="rId243"/>
    <hyperlink xmlns:r="http://schemas.openxmlformats.org/officeDocument/2006/relationships" ref="O65" r:id="rId244"/>
    <hyperlink xmlns:r="http://schemas.openxmlformats.org/officeDocument/2006/relationships" ref="Y65" r:id="rId245"/>
    <hyperlink xmlns:r="http://schemas.openxmlformats.org/officeDocument/2006/relationships" ref="Z65" r:id="rId246"/>
    <hyperlink xmlns:r="http://schemas.openxmlformats.org/officeDocument/2006/relationships" ref="AA65" r:id="rId24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5"/>
  <sheetViews>
    <sheetView showGridLines="0" workbookViewId="0">
      <pane ySplit="3" topLeftCell="A4" activePane="bottomLeft" state="frozen"/>
      <selection pane="bottomLeft" activeCell="A1" sqref="A1"/>
    </sheetView>
  </sheetViews>
  <sheetFormatPr baseColWidth="8" defaultRowHeight="15"/>
  <cols>
    <col width="12" customWidth="1" min="1" max="1"/>
    <col width="26" customWidth="1" min="2" max="2"/>
    <col width="12" customWidth="1" min="3" max="3"/>
    <col width="12" customWidth="1" min="4" max="4"/>
    <col width="28" customWidth="1" min="5" max="5"/>
    <col width="28" customWidth="1" min="6" max="6"/>
    <col width="32" customWidth="1" min="7" max="7"/>
    <col width="18" customWidth="1" min="8" max="8"/>
    <col width="28" customWidth="1" min="9" max="9"/>
    <col width="12" customWidth="1" min="10" max="10"/>
    <col width="22" customWidth="1" min="11" max="11"/>
    <col width="30" customWidth="1" min="12" max="12"/>
  </cols>
  <sheetData>
    <row r="1">
      <c r="A1" s="1" t="inlineStr">
        <is>
          <t>PARTNERS - contact completeness and duplicate-business checks.</t>
        </is>
      </c>
    </row>
    <row r="3">
      <c r="A3" s="2" t="inlineStr">
        <is>
          <t>Partner ID</t>
        </is>
      </c>
      <c r="B3" s="4" t="inlineStr">
        <is>
          <t>Partner Name</t>
        </is>
      </c>
      <c r="C3" s="4" t="inlineStr">
        <is>
          <t>Type</t>
        </is>
      </c>
      <c r="D3" s="4" t="inlineStr">
        <is>
          <t>Status</t>
        </is>
      </c>
      <c r="E3" s="4" t="inlineStr">
        <is>
          <t>Contact Email</t>
        </is>
      </c>
      <c r="F3" s="5" t="inlineStr">
        <is>
          <t>Linked Venue</t>
        </is>
      </c>
      <c r="G3" s="5" t="inlineStr">
        <is>
          <t>Venue Address</t>
        </is>
      </c>
      <c r="H3" s="5" t="inlineStr">
        <is>
          <t>Neighborhood</t>
        </is>
      </c>
      <c r="I3" s="5" t="inlineStr">
        <is>
          <t>Linked Quest</t>
        </is>
      </c>
      <c r="J3" s="5" t="inlineStr">
        <is>
          <t>Venue Count</t>
        </is>
      </c>
      <c r="K3" s="5" t="inlineStr">
        <is>
          <t>Duplicate Check</t>
        </is>
      </c>
      <c r="L3" s="4" t="inlineStr">
        <is>
          <t>Shares Address With (partner_id)</t>
        </is>
      </c>
    </row>
    <row r="4">
      <c r="A4" s="6" t="inlineStr">
        <is>
          <t>8723bb30-c43e-5dd1-9c7b-a55541c17b41</t>
        </is>
      </c>
      <c r="B4" s="6" t="inlineStr">
        <is>
          <t>1-800-Lucky</t>
        </is>
      </c>
      <c r="C4" s="6" t="inlineStr">
        <is>
          <t>venue</t>
        </is>
      </c>
      <c r="D4" s="7" t="inlineStr">
        <is>
          <t>active</t>
        </is>
      </c>
      <c r="E4" s="7" t="inlineStr">
        <is>
          <t>info@1-800-lucky.com</t>
        </is>
      </c>
      <c r="F4" s="6" t="inlineStr">
        <is>
          <t>1-800-Lucky</t>
        </is>
      </c>
      <c r="G4" s="6" t="inlineStr">
        <is>
          <t>143 NW 23rd St, Miami, FL 33127</t>
        </is>
      </c>
      <c r="H4" s="6" t="inlineStr">
        <is>
          <t>Wynwood</t>
        </is>
      </c>
      <c r="I4" s="6" t="inlineStr">
        <is>
          <t>Six Ways Lucky</t>
        </is>
      </c>
      <c r="J4" s="7" t="n">
        <v>1</v>
      </c>
      <c r="K4" s="7" t="inlineStr">
        <is>
          <t>None</t>
        </is>
      </c>
      <c r="L4" s="6" t="n"/>
    </row>
    <row r="5">
      <c r="A5" s="13" t="inlineStr">
        <is>
          <t>617044a3-282a-5211-bf44-49065ab56969</t>
        </is>
      </c>
      <c r="B5" s="13" t="inlineStr">
        <is>
          <t>Bachour</t>
        </is>
      </c>
      <c r="C5" s="13" t="inlineStr">
        <is>
          <t>venue</t>
        </is>
      </c>
      <c r="D5" s="7" t="inlineStr">
        <is>
          <t>active</t>
        </is>
      </c>
      <c r="E5" s="7" t="inlineStr">
        <is>
          <t>info@antoniobachour.com</t>
        </is>
      </c>
      <c r="F5" s="13" t="inlineStr">
        <is>
          <t>Bachour Coral Gables</t>
        </is>
      </c>
      <c r="G5" s="13" t="inlineStr">
        <is>
          <t>2020 Salzedo St, Coral Gables, FL 33134</t>
        </is>
      </c>
      <c r="H5" s="13" t="inlineStr">
        <is>
          <t>Coral Gables</t>
        </is>
      </c>
      <c r="I5" s="13" t="inlineStr">
        <is>
          <t>The Pastry Michelin Knows</t>
        </is>
      </c>
      <c r="J5" s="7" t="n">
        <v>1</v>
      </c>
      <c r="K5" s="7" t="inlineStr">
        <is>
          <t>None</t>
        </is>
      </c>
      <c r="L5" s="13" t="n"/>
    </row>
    <row r="6">
      <c r="A6" s="6" t="inlineStr">
        <is>
          <t>d7487d41-d93b-5ef5-ba8a-381866d6b5a0</t>
        </is>
      </c>
      <c r="B6" s="6" t="inlineStr">
        <is>
          <t>Ball &amp; Chain</t>
        </is>
      </c>
      <c r="C6" s="6" t="inlineStr">
        <is>
          <t>venue</t>
        </is>
      </c>
      <c r="D6" s="7" t="inlineStr">
        <is>
          <t>active</t>
        </is>
      </c>
      <c r="E6" s="7" t="inlineStr">
        <is>
          <t>info@ballandchainmiami.com</t>
        </is>
      </c>
      <c r="F6" s="6" t="inlineStr">
        <is>
          <t>Ball &amp; Chain</t>
        </is>
      </c>
      <c r="G6" s="6" t="inlineStr">
        <is>
          <t>1513 SW 8th St, Miami, FL 33135</t>
        </is>
      </c>
      <c r="H6" s="6" t="inlineStr">
        <is>
          <t>Little Havana</t>
        </is>
      </c>
      <c r="I6" s="6" t="inlineStr">
        <is>
          <t>Calle Ocho After Dark</t>
        </is>
      </c>
      <c r="J6" s="7" t="n">
        <v>1</v>
      </c>
      <c r="K6" s="7" t="inlineStr">
        <is>
          <t>None</t>
        </is>
      </c>
      <c r="L6" s="6" t="n"/>
    </row>
    <row r="7">
      <c r="A7" s="13" t="inlineStr">
        <is>
          <t>a8368acf-f984-5d35-bd3a-c283875d5706</t>
        </is>
      </c>
      <c r="B7" s="13" t="inlineStr">
        <is>
          <t>Bayside Marketplace</t>
        </is>
      </c>
      <c r="C7" s="13" t="inlineStr">
        <is>
          <t>venue</t>
        </is>
      </c>
      <c r="D7" s="7" t="inlineStr">
        <is>
          <t>active</t>
        </is>
      </c>
      <c r="E7" s="7" t="inlineStr">
        <is>
          <t>info@baysidemarketplace.com</t>
        </is>
      </c>
      <c r="F7" s="13" t="inlineStr">
        <is>
          <t>Bayside Marketplace</t>
        </is>
      </c>
      <c r="G7" s="13" t="inlineStr">
        <is>
          <t>401 Biscayne Blvd, Miami, FL 33132</t>
        </is>
      </c>
      <c r="H7" s="13" t="inlineStr">
        <is>
          <t>Downtown Miami</t>
        </is>
      </c>
      <c r="I7" s="13" t="inlineStr">
        <is>
          <t>Where Downtown Meets the Bay</t>
        </is>
      </c>
      <c r="J7" s="7" t="n">
        <v>1</v>
      </c>
      <c r="K7" s="7" t="inlineStr">
        <is>
          <t>None</t>
        </is>
      </c>
      <c r="L7" s="13" t="n"/>
    </row>
    <row r="8">
      <c r="A8" s="6" t="inlineStr">
        <is>
          <t>3b919211-a15b-5f8e-8280-4abffe96d876</t>
        </is>
      </c>
      <c r="B8" s="6" t="inlineStr">
        <is>
          <t>Bodega Taqueria y Tequila</t>
        </is>
      </c>
      <c r="C8" s="6" t="inlineStr">
        <is>
          <t>venue</t>
        </is>
      </c>
      <c r="D8" s="7" t="inlineStr">
        <is>
          <t>active</t>
        </is>
      </c>
      <c r="E8" s="7" t="inlineStr">
        <is>
          <t>info@bodegataqueria.com</t>
        </is>
      </c>
      <c r="F8" s="6" t="inlineStr">
        <is>
          <t>Bodega Taqueria y Tequila South Beach (Hidden Speakeasy)</t>
        </is>
      </c>
      <c r="G8" s="6" t="inlineStr">
        <is>
          <t>1220 16th St, Miami Beach, FL 33139</t>
        </is>
      </c>
      <c r="H8" s="6" t="inlineStr">
        <is>
          <t>South Beach</t>
        </is>
      </c>
      <c r="I8" s="6" t="inlineStr">
        <is>
          <t>The Porta-Potty Portal</t>
        </is>
      </c>
      <c r="J8" s="7" t="n">
        <v>1</v>
      </c>
      <c r="K8" s="7" t="inlineStr">
        <is>
          <t>None</t>
        </is>
      </c>
      <c r="L8" s="6" t="n"/>
    </row>
    <row r="9">
      <c r="A9" s="13" t="inlineStr">
        <is>
          <t>410e40e4-eaec-57a2-948f-5a54e18284f0</t>
        </is>
      </c>
      <c r="B9" s="13" t="inlineStr">
        <is>
          <t>Books &amp; Books</t>
        </is>
      </c>
      <c r="C9" s="13" t="inlineStr">
        <is>
          <t>venue</t>
        </is>
      </c>
      <c r="D9" s="7" t="inlineStr">
        <is>
          <t>active</t>
        </is>
      </c>
      <c r="E9" s="7" t="inlineStr">
        <is>
          <t>events@booksandbooks.com</t>
        </is>
      </c>
      <c r="F9" s="13" t="inlineStr">
        <is>
          <t>Books &amp; Books - Coral Gables</t>
        </is>
      </c>
      <c r="G9" s="13" t="inlineStr">
        <is>
          <t>265 Aragon Ave, Coral Gables, FL 33134</t>
        </is>
      </c>
      <c r="H9" s="13" t="inlineStr">
        <is>
          <t>Coral Gables</t>
        </is>
      </c>
      <c r="I9" s="13" t="inlineStr">
        <is>
          <t>Shelf Discovery</t>
        </is>
      </c>
      <c r="J9" s="7" t="n">
        <v>1</v>
      </c>
      <c r="K9" s="7" t="inlineStr">
        <is>
          <t>None</t>
        </is>
      </c>
      <c r="L9" s="13" t="n"/>
    </row>
    <row r="10">
      <c r="A10" s="6" t="inlineStr">
        <is>
          <t>2f64ad78-af59-54c1-897e-9ae076b0fbeb</t>
        </is>
      </c>
      <c r="B10" s="6" t="inlineStr">
        <is>
          <t>Brewing Buddha Cafe &amp; Arthouse</t>
        </is>
      </c>
      <c r="C10" s="6" t="inlineStr">
        <is>
          <t>venue</t>
        </is>
      </c>
      <c r="D10" s="7" t="inlineStr">
        <is>
          <t>active</t>
        </is>
      </c>
      <c r="E10" s="7" t="inlineStr">
        <is>
          <t>brewingbuddha@gmail.com</t>
        </is>
      </c>
      <c r="F10" s="6" t="inlineStr">
        <is>
          <t>Brewing Buddha Cafe &amp; Arthouse</t>
        </is>
      </c>
      <c r="G10" s="6" t="inlineStr">
        <is>
          <t>8219 SW 124th St, Pinecrest, FL 33156</t>
        </is>
      </c>
      <c r="H10" s="6" t="inlineStr">
        <is>
          <t>Pinecrest</t>
        </is>
      </c>
      <c r="I10" s="6" t="inlineStr">
        <is>
          <t>The Buddha's Gallery</t>
        </is>
      </c>
      <c r="J10" s="7" t="n">
        <v>1</v>
      </c>
      <c r="K10" s="7" t="inlineStr">
        <is>
          <t>None</t>
        </is>
      </c>
      <c r="L10" s="6" t="n"/>
    </row>
    <row r="11">
      <c r="A11" s="13" t="inlineStr">
        <is>
          <t>cc5bcf3c-8768-582d-9857-4b8bd0521b32</t>
        </is>
      </c>
      <c r="B11" s="13" t="inlineStr">
        <is>
          <t>Brickell City Centre</t>
        </is>
      </c>
      <c r="C11" s="13" t="inlineStr">
        <is>
          <t>venue</t>
        </is>
      </c>
      <c r="D11" s="7" t="inlineStr">
        <is>
          <t>active</t>
        </is>
      </c>
      <c r="E11" s="7" t="inlineStr">
        <is>
          <t>info@brickellcitycentre.com</t>
        </is>
      </c>
      <c r="F11" s="13" t="inlineStr">
        <is>
          <t>Brickell City Centre</t>
        </is>
      </c>
      <c r="G11" s="13" t="inlineStr">
        <is>
          <t>701 S Miami Ave, Miami, FL 33131</t>
        </is>
      </c>
      <c r="H11" s="13" t="inlineStr">
        <is>
          <t>Brickell</t>
        </is>
      </c>
      <c r="I11" s="13" t="inlineStr">
        <is>
          <t>The Vertical City</t>
        </is>
      </c>
      <c r="J11" s="7" t="n">
        <v>1</v>
      </c>
      <c r="K11" s="7" t="inlineStr">
        <is>
          <t>None</t>
        </is>
      </c>
      <c r="L11" s="13" t="n"/>
    </row>
    <row r="12">
      <c r="A12" s="6" t="inlineStr">
        <is>
          <t>e3910d7b-7879-5b99-91f5-b802abb6f486</t>
        </is>
      </c>
      <c r="B12" s="6" t="inlineStr">
        <is>
          <t>Broken Shaker</t>
        </is>
      </c>
      <c r="C12" s="6" t="inlineStr">
        <is>
          <t>venue</t>
        </is>
      </c>
      <c r="D12" s="7" t="inlineStr">
        <is>
          <t>active</t>
        </is>
      </c>
      <c r="E12" s="7" t="inlineStr">
        <is>
          <t>shaker.miami@freehandhotels.com</t>
        </is>
      </c>
      <c r="F12" s="6" t="inlineStr">
        <is>
          <t>Broken Shaker at Freehand Miami</t>
        </is>
      </c>
      <c r="G12" s="6" t="inlineStr">
        <is>
          <t>2727 Indian Creek Dr, Miami Beach, FL 33140</t>
        </is>
      </c>
      <c r="H12" s="6" t="inlineStr">
        <is>
          <t>South Beach</t>
        </is>
      </c>
      <c r="I12" s="6" t="inlineStr">
        <is>
          <t>The Pop-Up That Stayed</t>
        </is>
      </c>
      <c r="J12" s="7" t="n">
        <v>1</v>
      </c>
      <c r="K12" s="7" t="inlineStr">
        <is>
          <t>None</t>
        </is>
      </c>
      <c r="L12" s="6" t="n"/>
    </row>
    <row r="13">
      <c r="A13" s="13" t="inlineStr">
        <is>
          <t>0e518098-b8c2-5a78-af0f-1b4a38cb4d45</t>
        </is>
      </c>
      <c r="B13" s="13" t="inlineStr">
        <is>
          <t>Citizens MiamiCentral</t>
        </is>
      </c>
      <c r="C13" s="13" t="inlineStr">
        <is>
          <t>venue</t>
        </is>
      </c>
      <c r="D13" s="7" t="inlineStr">
        <is>
          <t>active</t>
        </is>
      </c>
      <c r="E13" s="7" t="inlineStr">
        <is>
          <t>info@gobrightline.com</t>
        </is>
      </c>
      <c r="F13" s="13" t="inlineStr">
        <is>
          <t>Citizens MiamiCentral</t>
        </is>
      </c>
      <c r="G13" s="13" t="inlineStr">
        <is>
          <t>600 NW 1st Ave, Miami, FL 33136</t>
        </is>
      </c>
      <c r="H13" s="13" t="inlineStr">
        <is>
          <t>Downtown Miami</t>
        </is>
      </c>
      <c r="I13" s="13" t="inlineStr">
        <is>
          <t>Eat Like a Commuter</t>
        </is>
      </c>
      <c r="J13" s="7" t="n">
        <v>1</v>
      </c>
      <c r="K13" s="7" t="inlineStr">
        <is>
          <t>None</t>
        </is>
      </c>
      <c r="L13" s="13" t="n"/>
    </row>
    <row r="14">
      <c r="A14" s="6" t="inlineStr">
        <is>
          <t>111a4bb7-ae6b-574d-b49b-f742f1d7a1b4</t>
        </is>
      </c>
      <c r="B14" s="6" t="inlineStr">
        <is>
          <t>Coral Gables Congregational United Church of Christ</t>
        </is>
      </c>
      <c r="C14" s="6" t="inlineStr">
        <is>
          <t>venue</t>
        </is>
      </c>
      <c r="D14" s="7" t="inlineStr">
        <is>
          <t>active</t>
        </is>
      </c>
      <c r="E14" s="7" t="inlineStr">
        <is>
          <t>info@gablesucc.org</t>
        </is>
      </c>
      <c r="F14" s="6" t="inlineStr">
        <is>
          <t>Coral Gables Congregational United Church of Christ</t>
        </is>
      </c>
      <c r="G14" s="6" t="inlineStr">
        <is>
          <t>3010 De Soto Blvd, Coral Gables, FL 33134</t>
        </is>
      </c>
      <c r="H14" s="6" t="inlineStr">
        <is>
          <t>Coral Gables</t>
        </is>
      </c>
      <c r="I14" s="6" t="inlineStr">
        <is>
          <t>The Landmark Across the Way</t>
        </is>
      </c>
      <c r="J14" s="7" t="n">
        <v>1</v>
      </c>
      <c r="K14" s="7" t="inlineStr">
        <is>
          <t>None</t>
        </is>
      </c>
      <c r="L14" s="6" t="n"/>
    </row>
    <row r="15">
      <c r="A15" s="13" t="inlineStr">
        <is>
          <t>ae760d8b-3bca-5a36-bc31-a602bad4b7d4</t>
        </is>
      </c>
      <c r="B15" s="13" t="inlineStr">
        <is>
          <t>Dale Zine</t>
        </is>
      </c>
      <c r="C15" s="13" t="inlineStr">
        <is>
          <t>venue</t>
        </is>
      </c>
      <c r="D15" s="7" t="inlineStr">
        <is>
          <t>active</t>
        </is>
      </c>
      <c r="E15" s="7" t="inlineStr">
        <is>
          <t>hello@dalezine.com</t>
        </is>
      </c>
      <c r="F15" s="13" t="inlineStr">
        <is>
          <t>Dale Zine Shop</t>
        </is>
      </c>
      <c r="G15" s="13" t="inlineStr">
        <is>
          <t>50 NE 40th St, Miami, FL 33137</t>
        </is>
      </c>
      <c r="H15" s="13" t="inlineStr">
        <is>
          <t>Design District</t>
        </is>
      </c>
      <c r="I15" s="13" t="inlineStr">
        <is>
          <t>Small Press, Big Energy</t>
        </is>
      </c>
      <c r="J15" s="7" t="n">
        <v>1</v>
      </c>
      <c r="K15" s="7" t="inlineStr">
        <is>
          <t>None</t>
        </is>
      </c>
      <c r="L15" s="13" t="n"/>
    </row>
    <row r="16">
      <c r="A16" s="6" t="inlineStr">
        <is>
          <t>7fe7ecdd-5738-50cf-b188-9dd31c746ba4</t>
        </is>
      </c>
      <c r="B16" s="6" t="inlineStr">
        <is>
          <t>Dante's HiFi</t>
        </is>
      </c>
      <c r="C16" s="6" t="inlineStr">
        <is>
          <t>venue</t>
        </is>
      </c>
      <c r="D16" s="7" t="inlineStr">
        <is>
          <t>active</t>
        </is>
      </c>
      <c r="E16" s="7" t="inlineStr">
        <is>
          <t>info@danteshifi.com</t>
        </is>
      </c>
      <c r="F16" s="6" t="inlineStr">
        <is>
          <t>Dante's HiFi</t>
        </is>
      </c>
      <c r="G16" s="6" t="inlineStr">
        <is>
          <t>519 NW 26th St, Miami, FL 33127</t>
        </is>
      </c>
      <c r="H16" s="6" t="inlineStr">
        <is>
          <t>Wynwood</t>
        </is>
      </c>
      <c r="I16" s="6" t="inlineStr">
        <is>
          <t>Drop the Needle</t>
        </is>
      </c>
      <c r="J16" s="7" t="n">
        <v>1</v>
      </c>
      <c r="K16" s="7" t="inlineStr">
        <is>
          <t>None</t>
        </is>
      </c>
      <c r="L16" s="6" t="n"/>
    </row>
    <row r="17">
      <c r="A17" s="13" t="inlineStr">
        <is>
          <t>34dbd889-65bc-584c-84e8-4ccd262de7da</t>
        </is>
      </c>
      <c r="B17" s="13" t="inlineStr">
        <is>
          <t>Dasher &amp; Crank</t>
        </is>
      </c>
      <c r="C17" s="13" t="inlineStr">
        <is>
          <t>venue</t>
        </is>
      </c>
      <c r="D17" s="7" t="inlineStr">
        <is>
          <t>active</t>
        </is>
      </c>
      <c r="E17" s="7" t="inlineStr">
        <is>
          <t>info@dasherandcrank.com</t>
        </is>
      </c>
      <c r="F17" s="13" t="inlineStr">
        <is>
          <t>Dasher &amp; Crank</t>
        </is>
      </c>
      <c r="G17" s="13" t="inlineStr">
        <is>
          <t>2211 NW 2nd Ave, Miami, FL 33127</t>
        </is>
      </c>
      <c r="H17" s="13" t="inlineStr">
        <is>
          <t>Wynwood</t>
        </is>
      </c>
      <c r="I17" s="13" t="inlineStr">
        <is>
          <t>The Dasher &amp; Crank Riddle</t>
        </is>
      </c>
      <c r="J17" s="7" t="n">
        <v>1</v>
      </c>
      <c r="K17" s="7" t="inlineStr">
        <is>
          <t>None</t>
        </is>
      </c>
      <c r="L17" s="13" t="n"/>
    </row>
    <row r="18">
      <c r="A18" s="6" t="inlineStr">
        <is>
          <t>856c13bf-067d-51ad-b3d0-90a47254fead</t>
        </is>
      </c>
      <c r="B18" s="6" t="inlineStr">
        <is>
          <t>E11EVEN Miami</t>
        </is>
      </c>
      <c r="C18" s="6" t="inlineStr">
        <is>
          <t>venue</t>
        </is>
      </c>
      <c r="D18" s="7" t="inlineStr">
        <is>
          <t>active</t>
        </is>
      </c>
      <c r="E18" s="7" t="inlineStr">
        <is>
          <t>info@11miami.com</t>
        </is>
      </c>
      <c r="F18" s="6" t="inlineStr">
        <is>
          <t>E11EVEN Miami</t>
        </is>
      </c>
      <c r="G18" s="6" t="inlineStr">
        <is>
          <t>29 NE 11th St, Miami, FL 33132</t>
        </is>
      </c>
      <c r="H18" s="6" t="inlineStr">
        <is>
          <t>Downtown Miami</t>
        </is>
      </c>
      <c r="I18" s="6" t="inlineStr">
        <is>
          <t>The Club That Never Sleeps</t>
        </is>
      </c>
      <c r="J18" s="7" t="n">
        <v>1</v>
      </c>
      <c r="K18" s="7" t="inlineStr">
        <is>
          <t>None</t>
        </is>
      </c>
      <c r="L18" s="6" t="n"/>
    </row>
    <row r="19">
      <c r="A19" s="13" t="inlineStr">
        <is>
          <t>6c739246-f141-592a-b037-fa7e59f617cc</t>
        </is>
      </c>
      <c r="B19" s="13" t="inlineStr">
        <is>
          <t>El Carajo International Tapas &amp; Wine</t>
        </is>
      </c>
      <c r="C19" s="13" t="inlineStr">
        <is>
          <t>venue</t>
        </is>
      </c>
      <c r="D19" s="7" t="inlineStr">
        <is>
          <t>active</t>
        </is>
      </c>
      <c r="E19" s="7" t="inlineStr">
        <is>
          <t>info@el-carajo.com</t>
        </is>
      </c>
      <c r="F19" s="13" t="inlineStr">
        <is>
          <t>El Carajo</t>
        </is>
      </c>
      <c r="G19" s="13" t="inlineStr">
        <is>
          <t>2465 SW 17th Ave, Miami, FL 33145</t>
        </is>
      </c>
      <c r="H19" s="13" t="inlineStr">
        <is>
          <t>Coral Way</t>
        </is>
      </c>
      <c r="I19" s="13" t="inlineStr">
        <is>
          <t>Fill Up on Tapas</t>
        </is>
      </c>
      <c r="J19" s="7" t="n">
        <v>1</v>
      </c>
      <c r="K19" s="7" t="inlineStr">
        <is>
          <t>None</t>
        </is>
      </c>
      <c r="L19" s="13" t="n"/>
    </row>
    <row r="20">
      <c r="A20" s="6" t="inlineStr">
        <is>
          <t>833529ce-a8c6-5ed7-8bf4-4fe76647d01d</t>
        </is>
      </c>
      <c r="B20" s="6" t="inlineStr">
        <is>
          <t>Española Way</t>
        </is>
      </c>
      <c r="C20" s="6" t="inlineStr">
        <is>
          <t>venue</t>
        </is>
      </c>
      <c r="D20" s="7" t="inlineStr">
        <is>
          <t>active</t>
        </is>
      </c>
      <c r="E20" s="7" t="inlineStr">
        <is>
          <t>info@visitespanolaway.com</t>
        </is>
      </c>
      <c r="F20" s="6" t="inlineStr">
        <is>
          <t>Española Way</t>
        </is>
      </c>
      <c r="G20" s="6" t="inlineStr">
        <is>
          <t>419 Española Way, Miami Beach, FL 33139</t>
        </is>
      </c>
      <c r="H20" s="6" t="inlineStr">
        <is>
          <t>South Beach</t>
        </is>
      </c>
      <c r="I20" s="6" t="inlineStr">
        <is>
          <t>The Spanish Detour</t>
        </is>
      </c>
      <c r="J20" s="7" t="n">
        <v>1</v>
      </c>
      <c r="K20" s="7" t="inlineStr">
        <is>
          <t>None</t>
        </is>
      </c>
      <c r="L20" s="6" t="n"/>
    </row>
    <row r="21">
      <c r="A21" s="13" t="inlineStr">
        <is>
          <t>54a6f74c-377f-5032-a65f-022be3d507fd</t>
        </is>
      </c>
      <c r="B21" s="13" t="inlineStr">
        <is>
          <t>Fairchild Tropical Botanic Garden</t>
        </is>
      </c>
      <c r="C21" s="13" t="inlineStr">
        <is>
          <t>venue</t>
        </is>
      </c>
      <c r="D21" s="7" t="inlineStr">
        <is>
          <t>active</t>
        </is>
      </c>
      <c r="E21" s="7" t="inlineStr">
        <is>
          <t>info@fairchildgarden.org</t>
        </is>
      </c>
      <c r="F21" s="13" t="inlineStr">
        <is>
          <t>Richard H. Simons Rainforest at Fairchild Tropical Botanic Garden</t>
        </is>
      </c>
      <c r="G21" s="13" t="inlineStr">
        <is>
          <t>10901 Old Cutler Rd, Coral Gables, FL 33156</t>
        </is>
      </c>
      <c r="H21" s="13" t="inlineStr">
        <is>
          <t>Coral Gables</t>
        </is>
      </c>
      <c r="I21" s="13" t="inlineStr">
        <is>
          <t>Rainforest Within the Garden</t>
        </is>
      </c>
      <c r="J21" s="7" t="n">
        <v>1</v>
      </c>
      <c r="K21" s="7" t="inlineStr">
        <is>
          <t>None</t>
        </is>
      </c>
      <c r="L21" s="13" t="n"/>
    </row>
    <row r="22">
      <c r="A22" s="6" t="inlineStr">
        <is>
          <t>06b8dc6d-d62d-5853-87de-600cf264d3d2</t>
        </is>
      </c>
      <c r="B22" s="6" t="inlineStr">
        <is>
          <t>Giralda Plaza</t>
        </is>
      </c>
      <c r="C22" s="6" t="inlineStr">
        <is>
          <t>venue</t>
        </is>
      </c>
      <c r="D22" s="7" t="inlineStr">
        <is>
          <t>active</t>
        </is>
      </c>
      <c r="E22" s="7" t="inlineStr">
        <is>
          <t>info@giraldaplaza.com</t>
        </is>
      </c>
      <c r="F22" s="6" t="inlineStr">
        <is>
          <t>Giralda Plaza</t>
        </is>
      </c>
      <c r="G22" s="6" t="inlineStr">
        <is>
          <t>100 block of Giralda Ave, Coral Gables, FL 33134</t>
        </is>
      </c>
      <c r="H22" s="6" t="inlineStr">
        <is>
          <t>Coral Gables</t>
        </is>
      </c>
      <c r="I22" s="6" t="inlineStr">
        <is>
          <t>The Pedestrian's Feast</t>
        </is>
      </c>
      <c r="J22" s="7" t="n">
        <v>1</v>
      </c>
      <c r="K22" s="7" t="inlineStr">
        <is>
          <t>None</t>
        </is>
      </c>
      <c r="L22" s="6" t="n"/>
    </row>
    <row r="23">
      <c r="A23" s="13" t="inlineStr">
        <is>
          <t>a116f926-5af7-523b-a23c-7b0131e64f83</t>
        </is>
      </c>
      <c r="B23" s="13" t="inlineStr">
        <is>
          <t>Government Center Station</t>
        </is>
      </c>
      <c r="C23" s="13" t="inlineStr">
        <is>
          <t>venue</t>
        </is>
      </c>
      <c r="D23" s="7" t="inlineStr">
        <is>
          <t>active</t>
        </is>
      </c>
      <c r="E23" s="7" t="inlineStr">
        <is>
          <t>transit@miamidade.gov</t>
        </is>
      </c>
      <c r="F23" s="13" t="inlineStr">
        <is>
          <t>Government Center Station</t>
        </is>
      </c>
      <c r="G23" s="13" t="inlineStr">
        <is>
          <t>101 NW 1st St, Miami, FL 33128</t>
        </is>
      </c>
      <c r="H23" s="13" t="inlineStr">
        <is>
          <t>Downtown Miami</t>
        </is>
      </c>
      <c r="I23" s="13" t="inlineStr">
        <is>
          <t>The Crossroads</t>
        </is>
      </c>
      <c r="J23" s="7" t="n">
        <v>1</v>
      </c>
      <c r="K23" s="7" t="inlineStr">
        <is>
          <t>None</t>
        </is>
      </c>
      <c r="L23" s="13" t="n"/>
    </row>
    <row r="24">
      <c r="A24" s="6" t="inlineStr">
        <is>
          <t>f1b3973c-4035-58cb-a3b2-6a1326842801</t>
        </is>
      </c>
      <c r="B24" s="6" t="inlineStr">
        <is>
          <t>Imperial Moto</t>
        </is>
      </c>
      <c r="C24" s="6" t="inlineStr">
        <is>
          <t>venue</t>
        </is>
      </c>
      <c r="D24" s="7" t="inlineStr">
        <is>
          <t>active</t>
        </is>
      </c>
      <c r="E24" s="7" t="inlineStr">
        <is>
          <t>hello@imperialmoto.com</t>
        </is>
      </c>
      <c r="F24" s="6" t="inlineStr">
        <is>
          <t>Imperial Moto Cafe - Little River</t>
        </is>
      </c>
      <c r="G24" s="6" t="inlineStr">
        <is>
          <t>7299 NW 2nd Ave, Miami, FL 33150</t>
        </is>
      </c>
      <c r="H24" s="6" t="inlineStr">
        <is>
          <t>Little River</t>
        </is>
      </c>
      <c r="I24" s="6" t="inlineStr">
        <is>
          <t>Full Throttle Coffee</t>
        </is>
      </c>
      <c r="J24" s="7" t="n">
        <v>1</v>
      </c>
      <c r="K24" s="7" t="inlineStr">
        <is>
          <t>None</t>
        </is>
      </c>
      <c r="L24" s="6" t="n"/>
    </row>
    <row r="25">
      <c r="A25" s="13" t="inlineStr">
        <is>
          <t>df3058d3-c3a4-5322-bdf2-2c5ed6bb64f8</t>
        </is>
      </c>
      <c r="B25" s="13" t="inlineStr">
        <is>
          <t>Institute of Contemporary Art, Miami</t>
        </is>
      </c>
      <c r="C25" s="13" t="inlineStr">
        <is>
          <t>venue</t>
        </is>
      </c>
      <c r="D25" s="7" t="inlineStr">
        <is>
          <t>active</t>
        </is>
      </c>
      <c r="E25" s="7" t="inlineStr">
        <is>
          <t>hello@icamiami.org</t>
        </is>
      </c>
      <c r="F25" s="13" t="inlineStr">
        <is>
          <t>Institute of Contemporary Art, Miami</t>
        </is>
      </c>
      <c r="G25" s="13" t="inlineStr">
        <is>
          <t>61 NE 41st St, Miami, FL 33137</t>
        </is>
      </c>
      <c r="H25" s="13" t="inlineStr">
        <is>
          <t>Design District</t>
        </is>
      </c>
      <c r="I25" s="13" t="inlineStr">
        <is>
          <t>Free Art, Big Ideas</t>
        </is>
      </c>
      <c r="J25" s="7" t="n">
        <v>1</v>
      </c>
      <c r="K25" s="7" t="inlineStr">
        <is>
          <t>None</t>
        </is>
      </c>
      <c r="L25" s="13" t="n"/>
    </row>
    <row r="26">
      <c r="A26" s="6" t="inlineStr">
        <is>
          <t>b7dec364-dff7-5da4-a66c-b8b127afe2dc</t>
        </is>
      </c>
      <c r="B26" s="6" t="inlineStr">
        <is>
          <t>Joia Beach</t>
        </is>
      </c>
      <c r="C26" s="6" t="inlineStr">
        <is>
          <t>venue</t>
        </is>
      </c>
      <c r="D26" s="7" t="inlineStr">
        <is>
          <t>active</t>
        </is>
      </c>
      <c r="E26" s="7" t="inlineStr">
        <is>
          <t>info@joiabeachmiami.com</t>
        </is>
      </c>
      <c r="F26" s="6" t="inlineStr">
        <is>
          <t>Joia Beach Restaurant and Beach Club</t>
        </is>
      </c>
      <c r="G26" s="6" t="inlineStr">
        <is>
          <t>1111 Parrot Jungle Trail, Miami, FL 33132</t>
        </is>
      </c>
      <c r="H26" s="6" t="inlineStr">
        <is>
          <t>Watson Island</t>
        </is>
      </c>
      <c r="I26" s="6" t="inlineStr">
        <is>
          <t>Island Detour</t>
        </is>
      </c>
      <c r="J26" s="7" t="n">
        <v>1</v>
      </c>
      <c r="K26" s="18" t="inlineStr">
        <is>
          <t>Shared Address (review)</t>
        </is>
      </c>
      <c r="L26" s="6" t="inlineStr">
        <is>
          <t>b7dec364-dff7-5da4-a66c-b8b127afe2dc, dce8d898-6e8d-554a-9922-17d2c1326c0e</t>
        </is>
      </c>
    </row>
    <row r="27">
      <c r="A27" s="13" t="inlineStr">
        <is>
          <t>dce8d898-6e8d-554a-9922-17d2c1326c0e</t>
        </is>
      </c>
      <c r="B27" s="13" t="inlineStr">
        <is>
          <t>Jungle Island</t>
        </is>
      </c>
      <c r="C27" s="13" t="inlineStr">
        <is>
          <t>venue</t>
        </is>
      </c>
      <c r="D27" s="7" t="inlineStr">
        <is>
          <t>active</t>
        </is>
      </c>
      <c r="E27" s="7" t="inlineStr">
        <is>
          <t>info@jungleisland.com</t>
        </is>
      </c>
      <c r="F27" s="13" t="inlineStr">
        <is>
          <t>Jungle Island</t>
        </is>
      </c>
      <c r="G27" s="13" t="inlineStr">
        <is>
          <t>1111 Parrot Jungle Trail, Miami, FL 33132</t>
        </is>
      </c>
      <c r="H27" s="13" t="inlineStr">
        <is>
          <t>Watson Island</t>
        </is>
      </c>
      <c r="I27" s="13" t="inlineStr">
        <is>
          <t>The Wild Side of Watson Island</t>
        </is>
      </c>
      <c r="J27" s="7" t="n">
        <v>1</v>
      </c>
      <c r="K27" s="18" t="inlineStr">
        <is>
          <t>Shared Address (review)</t>
        </is>
      </c>
      <c r="L27" s="13" t="inlineStr">
        <is>
          <t>b7dec364-dff7-5da4-a66c-b8b127afe2dc, dce8d898-6e8d-554a-9922-17d2c1326c0e</t>
        </is>
      </c>
    </row>
    <row r="28">
      <c r="A28" s="6" t="inlineStr">
        <is>
          <t>208abc78-1331-5ded-a5d6-a252c9974594</t>
        </is>
      </c>
      <c r="B28" s="6" t="inlineStr">
        <is>
          <t>Jungle Plaza</t>
        </is>
      </c>
      <c r="C28" s="6" t="inlineStr">
        <is>
          <t>venue</t>
        </is>
      </c>
      <c r="D28" s="7" t="inlineStr">
        <is>
          <t>active</t>
        </is>
      </c>
      <c r="E28" s="7" t="inlineStr">
        <is>
          <t>events@miamidesigndistrict.net</t>
        </is>
      </c>
      <c r="F28" s="6" t="inlineStr">
        <is>
          <t>Jungle Plaza</t>
        </is>
      </c>
      <c r="G28" s="6" t="inlineStr">
        <is>
          <t>3801 NE 1st Ave, Miami, FL 33137</t>
        </is>
      </c>
      <c r="H28" s="6" t="inlineStr">
        <is>
          <t>Design District</t>
        </is>
      </c>
      <c r="I28" s="6" t="inlineStr">
        <is>
          <t>Through the Portal</t>
        </is>
      </c>
      <c r="J28" s="7" t="n">
        <v>1</v>
      </c>
      <c r="K28" s="7" t="inlineStr">
        <is>
          <t>None</t>
        </is>
      </c>
      <c r="L28" s="6" t="n"/>
    </row>
    <row r="29">
      <c r="A29" s="13" t="inlineStr">
        <is>
          <t>5e937cc3-c9da-52d6-9aa4-833b48cd20be</t>
        </is>
      </c>
      <c r="B29" s="13" t="inlineStr">
        <is>
          <t>Kaseya Center (AT&amp;T East Plaza)</t>
        </is>
      </c>
      <c r="C29" s="13" t="inlineStr">
        <is>
          <t>venue</t>
        </is>
      </c>
      <c r="D29" s="7" t="inlineStr">
        <is>
          <t>active</t>
        </is>
      </c>
      <c r="E29" s="7" t="inlineStr">
        <is>
          <t>info@kaseyacenter.com</t>
        </is>
      </c>
      <c r="F29" s="13" t="inlineStr">
        <is>
          <t>Kaseya Center</t>
        </is>
      </c>
      <c r="G29" s="13" t="inlineStr">
        <is>
          <t>601 Biscayne Blvd, Miami, FL 33132</t>
        </is>
      </c>
      <c r="H29" s="13" t="inlineStr">
        <is>
          <t>Downtown Miami</t>
        </is>
      </c>
      <c r="I29" s="13" t="inlineStr">
        <is>
          <t>Home Court</t>
        </is>
      </c>
      <c r="J29" s="7" t="n">
        <v>1</v>
      </c>
      <c r="K29" s="7" t="inlineStr">
        <is>
          <t>None</t>
        </is>
      </c>
      <c r="L29" s="13" t="n"/>
    </row>
    <row r="30">
      <c r="A30" s="6" t="inlineStr">
        <is>
          <t>8397b449-800f-5c57-b5b3-c492219c5e57</t>
        </is>
      </c>
      <c r="B30" s="6" t="inlineStr">
        <is>
          <t>Komodo Miami</t>
        </is>
      </c>
      <c r="C30" s="6" t="inlineStr">
        <is>
          <t>venue</t>
        </is>
      </c>
      <c r="D30" s="7" t="inlineStr">
        <is>
          <t>active</t>
        </is>
      </c>
      <c r="E30" s="7" t="inlineStr">
        <is>
          <t>info@groothospitality.com</t>
        </is>
      </c>
      <c r="F30" s="6" t="inlineStr">
        <is>
          <t>Komodo Miami</t>
        </is>
      </c>
      <c r="G30" s="6" t="inlineStr">
        <is>
          <t>801 Brickell Ave, Miami, FL 33131</t>
        </is>
      </c>
      <c r="H30" s="6" t="inlineStr">
        <is>
          <t>Brickell</t>
        </is>
      </c>
      <c r="I30" s="6" t="inlineStr">
        <is>
          <t>Dragon Hunting in Brickell</t>
        </is>
      </c>
      <c r="J30" s="7" t="n">
        <v>1</v>
      </c>
      <c r="K30" s="7" t="inlineStr">
        <is>
          <t>None</t>
        </is>
      </c>
      <c r="L30" s="6" t="n"/>
    </row>
    <row r="31">
      <c r="A31" s="13" t="inlineStr">
        <is>
          <t>ab1faa46-f085-5e74-96b1-13091b98a1e6</t>
        </is>
      </c>
      <c r="B31" s="13" t="inlineStr">
        <is>
          <t>Lagniappe House</t>
        </is>
      </c>
      <c r="C31" s="13" t="inlineStr">
        <is>
          <t>venue</t>
        </is>
      </c>
      <c r="D31" s="7" t="inlineStr">
        <is>
          <t>active</t>
        </is>
      </c>
      <c r="E31" s="7" t="inlineStr">
        <is>
          <t>info@lagniappehouse.com</t>
        </is>
      </c>
      <c r="F31" s="13" t="inlineStr">
        <is>
          <t>Lagniappe</t>
        </is>
      </c>
      <c r="G31" s="13" t="inlineStr">
        <is>
          <t>3425 NE 2nd Ave, Miami, FL 33137</t>
        </is>
      </c>
      <c r="H31" s="13" t="inlineStr">
        <is>
          <t>Midtown / Wynwood-Edgewater</t>
        </is>
      </c>
      <c r="I31" s="13" t="inlineStr">
        <is>
          <t>A Little Something Extra</t>
        </is>
      </c>
      <c r="J31" s="7" t="n">
        <v>1</v>
      </c>
      <c r="K31" s="7" t="inlineStr">
        <is>
          <t>None</t>
        </is>
      </c>
      <c r="L31" s="13" t="n"/>
    </row>
    <row r="32">
      <c r="A32" s="6" t="inlineStr">
        <is>
          <t>7b017967-7fa7-5e64-b5b4-74f32f680a17</t>
        </is>
      </c>
      <c r="B32" s="6" t="inlineStr">
        <is>
          <t>Lost Boy &amp; Co.</t>
        </is>
      </c>
      <c r="C32" s="6" t="inlineStr">
        <is>
          <t>venue</t>
        </is>
      </c>
      <c r="D32" s="7" t="inlineStr">
        <is>
          <t>active</t>
        </is>
      </c>
      <c r="E32" s="7" t="inlineStr">
        <is>
          <t>info@lostboyandco.com</t>
        </is>
      </c>
      <c r="F32" s="6" t="inlineStr">
        <is>
          <t>Lost Boy Dry Goods</t>
        </is>
      </c>
      <c r="G32" s="6" t="inlineStr">
        <is>
          <t>157 E Flagler St, Miami, FL 33131</t>
        </is>
      </c>
      <c r="H32" s="6" t="inlineStr">
        <is>
          <t>Downtown Miami</t>
        </is>
      </c>
      <c r="I32" s="6" t="inlineStr">
        <is>
          <t>Get Lost Downtown</t>
        </is>
      </c>
      <c r="J32" s="7" t="n">
        <v>1</v>
      </c>
      <c r="K32" s="7" t="inlineStr">
        <is>
          <t>None</t>
        </is>
      </c>
      <c r="L32" s="6" t="n"/>
    </row>
    <row r="33">
      <c r="A33" s="13" t="inlineStr">
        <is>
          <t>fd491c98-f9f9-55df-bdd2-524064c0cf50</t>
        </is>
      </c>
      <c r="B33" s="13" t="inlineStr">
        <is>
          <t>Lummus Park</t>
        </is>
      </c>
      <c r="C33" s="13" t="inlineStr">
        <is>
          <t>venue</t>
        </is>
      </c>
      <c r="D33" s="7" t="inlineStr">
        <is>
          <t>active</t>
        </is>
      </c>
      <c r="E33" s="7" t="inlineStr">
        <is>
          <t>parks@miamibeachfl.gov</t>
        </is>
      </c>
      <c r="F33" s="13" t="inlineStr">
        <is>
          <t>Lummus Park</t>
        </is>
      </c>
      <c r="G33" s="13" t="inlineStr">
        <is>
          <t>Ocean Dr (between 5th St and 15th St), Miami Beach, FL 33139</t>
        </is>
      </c>
      <c r="H33" s="13" t="inlineStr">
        <is>
          <t>South Beach</t>
        </is>
      </c>
      <c r="I33" s="13" t="inlineStr">
        <is>
          <t>Postcard Row</t>
        </is>
      </c>
      <c r="J33" s="7" t="n">
        <v>1</v>
      </c>
      <c r="K33" s="7" t="inlineStr">
        <is>
          <t>None</t>
        </is>
      </c>
      <c r="L33" s="13" t="n"/>
    </row>
    <row r="34">
      <c r="A34" s="6" t="inlineStr">
        <is>
          <t>c52d5929-de1b-5d2c-bc9d-84564c78a487</t>
        </is>
      </c>
      <c r="B34" s="6" t="inlineStr">
        <is>
          <t>Mac's Club Deuce</t>
        </is>
      </c>
      <c r="C34" s="6" t="inlineStr">
        <is>
          <t>venue</t>
        </is>
      </c>
      <c r="D34" s="7" t="inlineStr">
        <is>
          <t>active</t>
        </is>
      </c>
      <c r="E34" s="7" t="inlineStr">
        <is>
          <t>macsclubdeuce@gmail.com</t>
        </is>
      </c>
      <c r="F34" s="6" t="inlineStr">
        <is>
          <t>Mac's Club Deuce</t>
        </is>
      </c>
      <c r="G34" s="6" t="inlineStr">
        <is>
          <t>222 14th St, Miami Beach, FL 33139</t>
        </is>
      </c>
      <c r="H34" s="6" t="inlineStr">
        <is>
          <t>South Beach</t>
        </is>
      </c>
      <c r="I34" s="6" t="inlineStr">
        <is>
          <t>The Hundred-Year Dive</t>
        </is>
      </c>
      <c r="J34" s="7" t="n">
        <v>1</v>
      </c>
      <c r="K34" s="7" t="inlineStr">
        <is>
          <t>None</t>
        </is>
      </c>
      <c r="L34" s="6" t="n"/>
    </row>
    <row r="35">
      <c r="A35" s="13" t="inlineStr">
        <is>
          <t>a2bdfb29-2728-54f6-8142-de371f679c40</t>
        </is>
      </c>
      <c r="B35" s="13" t="inlineStr">
        <is>
          <t>Maurice A. Ferré Park</t>
        </is>
      </c>
      <c r="C35" s="13" t="inlineStr">
        <is>
          <t>venue</t>
        </is>
      </c>
      <c r="D35" s="7" t="inlineStr">
        <is>
          <t>active</t>
        </is>
      </c>
      <c r="E35" s="7" t="inlineStr">
        <is>
          <t>parks@miamigov.com</t>
        </is>
      </c>
      <c r="F35" s="13" t="inlineStr">
        <is>
          <t>Maurice A. Ferré Park</t>
        </is>
      </c>
      <c r="G35" s="13" t="inlineStr">
        <is>
          <t>1075 Biscayne Blvd, Miami, FL 33132</t>
        </is>
      </c>
      <c r="H35" s="13" t="inlineStr">
        <is>
          <t>Downtown Miami / Arts &amp; Entertainment District</t>
        </is>
      </c>
      <c r="I35" s="13" t="inlineStr">
        <is>
          <t>The Museum's Front Yard</t>
        </is>
      </c>
      <c r="J35" s="7" t="n">
        <v>1</v>
      </c>
      <c r="K35" s="7" t="inlineStr">
        <is>
          <t>None</t>
        </is>
      </c>
      <c r="L35" s="13" t="n"/>
    </row>
    <row r="36">
      <c r="A36" s="6" t="inlineStr">
        <is>
          <t>a29163be-6b51-5842-9d44-b0d0deb646f6</t>
        </is>
      </c>
      <c r="B36" s="6" t="inlineStr">
        <is>
          <t>Miam Café</t>
        </is>
      </c>
      <c r="C36" s="6" t="inlineStr">
        <is>
          <t>venue</t>
        </is>
      </c>
      <c r="D36" s="7" t="inlineStr">
        <is>
          <t>active</t>
        </is>
      </c>
      <c r="E36" s="7" t="inlineStr">
        <is>
          <t>info@miamcafe.com</t>
        </is>
      </c>
      <c r="F36" s="6" t="inlineStr">
        <is>
          <t>Miam Café - Wynwood</t>
        </is>
      </c>
      <c r="G36" s="6" t="inlineStr">
        <is>
          <t>2750 NW 3rd Ave, Miami, FL 33127</t>
        </is>
      </c>
      <c r="H36" s="6" t="inlineStr">
        <is>
          <t>Wynwood</t>
        </is>
      </c>
      <c r="I36" s="6" t="inlineStr">
        <is>
          <t>Say 'Miam'</t>
        </is>
      </c>
      <c r="J36" s="7" t="n">
        <v>1</v>
      </c>
      <c r="K36" s="7" t="inlineStr">
        <is>
          <t>None</t>
        </is>
      </c>
      <c r="L36" s="6" t="n"/>
    </row>
    <row r="37">
      <c r="A37" s="13" t="inlineStr">
        <is>
          <t>05815fa9-244a-54eb-8b42-8aaacfa1a829</t>
        </is>
      </c>
      <c r="B37" s="13" t="inlineStr">
        <is>
          <t>Miami Circle at Brickell Point</t>
        </is>
      </c>
      <c r="C37" s="13" t="inlineStr">
        <is>
          <t>venue</t>
        </is>
      </c>
      <c r="D37" s="7" t="inlineStr">
        <is>
          <t>active</t>
        </is>
      </c>
      <c r="E37" s="7" t="inlineStr">
        <is>
          <t>parks@miamigov.com</t>
        </is>
      </c>
      <c r="F37" s="13" t="inlineStr">
        <is>
          <t>Miami Circle Park</t>
        </is>
      </c>
      <c r="G37" s="13" t="inlineStr">
        <is>
          <t>401 Brickell Ave, Miami, FL 33131</t>
        </is>
      </c>
      <c r="H37" s="13" t="inlineStr">
        <is>
          <t>Brickell</t>
        </is>
      </c>
      <c r="I37" s="13" t="inlineStr">
        <is>
          <t>The 2,000-Year-Old Circle</t>
        </is>
      </c>
      <c r="J37" s="7" t="n">
        <v>1</v>
      </c>
      <c r="K37" s="7" t="inlineStr">
        <is>
          <t>None</t>
        </is>
      </c>
      <c r="L37" s="13" t="n"/>
    </row>
    <row r="38">
      <c r="A38" s="6" t="inlineStr">
        <is>
          <t>7ccaef07-9288-5d31-8b40-0061bc3ddf10</t>
        </is>
      </c>
      <c r="B38" s="6" t="inlineStr">
        <is>
          <t>Miami Design District</t>
        </is>
      </c>
      <c r="C38" s="6" t="inlineStr">
        <is>
          <t>venue</t>
        </is>
      </c>
      <c r="D38" s="7" t="inlineStr">
        <is>
          <t>active</t>
        </is>
      </c>
      <c r="E38" s="7" t="inlineStr">
        <is>
          <t>info@miamidesigndistrict.net</t>
        </is>
      </c>
      <c r="F38" s="6" t="inlineStr">
        <is>
          <t>Miami Design District</t>
        </is>
      </c>
      <c r="G38" s="6" t="inlineStr">
        <is>
          <t>140 NE 39th St, Miami, FL 33137</t>
        </is>
      </c>
      <c r="H38" s="6" t="inlineStr">
        <is>
          <t>Design District</t>
        </is>
      </c>
      <c r="I38" s="6" t="inlineStr">
        <is>
          <t>The Palm Court Puzzle</t>
        </is>
      </c>
      <c r="J38" s="7" t="n">
        <v>1</v>
      </c>
      <c r="K38" s="7" t="inlineStr">
        <is>
          <t>None</t>
        </is>
      </c>
      <c r="L38" s="6" t="n"/>
    </row>
    <row r="39">
      <c r="A39" s="13" t="inlineStr">
        <is>
          <t>636d6c24-dd1c-57b7-9b79-94481e239b2b</t>
        </is>
      </c>
      <c r="B39" s="13" t="inlineStr">
        <is>
          <t>Miami Worldcenter</t>
        </is>
      </c>
      <c r="C39" s="13" t="inlineStr">
        <is>
          <t>venue</t>
        </is>
      </c>
      <c r="D39" s="7" t="inlineStr">
        <is>
          <t>active</t>
        </is>
      </c>
      <c r="E39" s="7" t="inlineStr">
        <is>
          <t>info@miamiworldcenter.com</t>
        </is>
      </c>
      <c r="F39" s="13" t="inlineStr">
        <is>
          <t>Miami Worldcenter</t>
        </is>
      </c>
      <c r="G39" s="13" t="inlineStr">
        <is>
          <t>851 NE 1st Ave, Miami, FL 33132</t>
        </is>
      </c>
      <c r="H39" s="13" t="inlineStr">
        <is>
          <t>Park West / Downtown Miami</t>
        </is>
      </c>
      <c r="I39" s="13" t="inlineStr">
        <is>
          <t>City Under Construction</t>
        </is>
      </c>
      <c r="J39" s="7" t="n">
        <v>1</v>
      </c>
      <c r="K39" s="7" t="inlineStr">
        <is>
          <t>None</t>
        </is>
      </c>
      <c r="L39" s="13" t="n"/>
    </row>
    <row r="40">
      <c r="A40" s="6" t="inlineStr">
        <is>
          <t>63bbc92f-9faa-55d5-b68a-0ac653f0ad1c</t>
        </is>
      </c>
      <c r="B40" s="6" t="inlineStr">
        <is>
          <t>Midorie Miami</t>
        </is>
      </c>
      <c r="C40" s="6" t="inlineStr">
        <is>
          <t>venue</t>
        </is>
      </c>
      <c r="D40" s="7" t="inlineStr">
        <is>
          <t>active</t>
        </is>
      </c>
      <c r="E40" s="7" t="inlineStr">
        <is>
          <t>hello@midoriemiami.com</t>
        </is>
      </c>
      <c r="F40" s="6" t="inlineStr">
        <is>
          <t>Midorie Miami</t>
        </is>
      </c>
      <c r="G40" s="6" t="inlineStr">
        <is>
          <t>3444 Main Hwy, Miami, FL 33133</t>
        </is>
      </c>
      <c r="H40" s="6" t="inlineStr">
        <is>
          <t>Coconut Grove</t>
        </is>
      </c>
      <c r="I40" s="6" t="inlineStr">
        <is>
          <t>Lost in the Grove</t>
        </is>
      </c>
      <c r="J40" s="7" t="n">
        <v>1</v>
      </c>
      <c r="K40" s="7" t="inlineStr">
        <is>
          <t>None</t>
        </is>
      </c>
      <c r="L40" s="6" t="n"/>
    </row>
    <row r="41">
      <c r="A41" s="13" t="inlineStr">
        <is>
          <t>a20285f9-cb39-5da1-8882-a597e5158d0c</t>
        </is>
      </c>
      <c r="B41" s="13" t="inlineStr">
        <is>
          <t>Miracle Mile</t>
        </is>
      </c>
      <c r="C41" s="13" t="inlineStr">
        <is>
          <t>venue</t>
        </is>
      </c>
      <c r="D41" s="7" t="inlineStr">
        <is>
          <t>active</t>
        </is>
      </c>
      <c r="E41" s="7" t="inlineStr">
        <is>
          <t>info@coralgableschamber.org</t>
        </is>
      </c>
      <c r="F41" s="13" t="inlineStr">
        <is>
          <t>Miracle Mile</t>
        </is>
      </c>
      <c r="G41" s="13" t="inlineStr">
        <is>
          <t>Coral Way between SW 37th Ave and SW 42nd Ave, Coral Gables, FL 33134</t>
        </is>
      </c>
      <c r="H41" s="13" t="inlineStr">
        <is>
          <t>Coral Gables</t>
        </is>
      </c>
      <c r="I41" s="13" t="inlineStr">
        <is>
          <t>The Half-Mile Miracle</t>
        </is>
      </c>
      <c r="J41" s="7" t="n">
        <v>1</v>
      </c>
      <c r="K41" s="7" t="inlineStr">
        <is>
          <t>None</t>
        </is>
      </c>
      <c r="L41" s="13" t="n"/>
    </row>
    <row r="42">
      <c r="A42" s="6" t="inlineStr">
        <is>
          <t>d25ce94f-cf6b-5252-af8c-6e8e5526f06a</t>
        </is>
      </c>
      <c r="B42" s="6" t="inlineStr">
        <is>
          <t>Naomi's Garden Restaurant &amp; Lounge</t>
        </is>
      </c>
      <c r="C42" s="6" t="inlineStr">
        <is>
          <t>venue</t>
        </is>
      </c>
      <c r="D42" s="7" t="inlineStr">
        <is>
          <t>active</t>
        </is>
      </c>
      <c r="E42" s="7" t="inlineStr">
        <is>
          <t>naomisgardencafe@gmail.com</t>
        </is>
      </c>
      <c r="F42" s="6" t="inlineStr">
        <is>
          <t>Naomi's Garden Restaurant &amp; Lounge</t>
        </is>
      </c>
      <c r="G42" s="6" t="inlineStr">
        <is>
          <t>650 NW 71st St, Miami, FL 33150</t>
        </is>
      </c>
      <c r="H42" s="6" t="inlineStr">
        <is>
          <t>Little Haiti</t>
        </is>
      </c>
      <c r="I42" s="6" t="inlineStr">
        <is>
          <t>The Garden of Little Haiti</t>
        </is>
      </c>
      <c r="J42" s="7" t="n">
        <v>1</v>
      </c>
      <c r="K42" s="7" t="inlineStr">
        <is>
          <t>None</t>
        </is>
      </c>
      <c r="L42" s="6" t="n"/>
    </row>
    <row r="43">
      <c r="A43" s="13" t="inlineStr">
        <is>
          <t>a0e58b54-b8ed-5125-a4e8-387091622757</t>
        </is>
      </c>
      <c r="B43" s="13" t="inlineStr">
        <is>
          <t>Over Under</t>
        </is>
      </c>
      <c r="C43" s="13" t="inlineStr">
        <is>
          <t>venue</t>
        </is>
      </c>
      <c r="D43" s="7" t="inlineStr">
        <is>
          <t>active</t>
        </is>
      </c>
      <c r="E43" s="7" t="inlineStr">
        <is>
          <t>hello@overundermiami.com</t>
        </is>
      </c>
      <c r="F43" s="13" t="inlineStr">
        <is>
          <t>Over Under</t>
        </is>
      </c>
      <c r="G43" s="13" t="inlineStr">
        <is>
          <t>151 E Flagler St, Miami, FL 33131</t>
        </is>
      </c>
      <c r="H43" s="13" t="inlineStr">
        <is>
          <t>Downtown Miami</t>
        </is>
      </c>
      <c r="I43" s="13" t="inlineStr">
        <is>
          <t>Flagler Street Revival</t>
        </is>
      </c>
      <c r="J43" s="7" t="n">
        <v>1</v>
      </c>
      <c r="K43" s="7" t="inlineStr">
        <is>
          <t>None</t>
        </is>
      </c>
      <c r="L43" s="13" t="n"/>
    </row>
    <row r="44">
      <c r="A44" s="6" t="inlineStr">
        <is>
          <t>b7a5c65e-0674-54c8-9e2f-c17fe6402861</t>
        </is>
      </c>
      <c r="B44" s="6" t="inlineStr">
        <is>
          <t>Panther Coffee</t>
        </is>
      </c>
      <c r="C44" s="6" t="inlineStr">
        <is>
          <t>venue</t>
        </is>
      </c>
      <c r="D44" s="7" t="inlineStr">
        <is>
          <t>active</t>
        </is>
      </c>
      <c r="E44" s="7" t="inlineStr">
        <is>
          <t>info@panthercoffee.com</t>
        </is>
      </c>
      <c r="F44" s="6" t="inlineStr">
        <is>
          <t>Panther Coffee - Wynwood</t>
        </is>
      </c>
      <c r="G44" s="6" t="inlineStr">
        <is>
          <t>2390 NW 2nd Ave, Miami, FL 33127</t>
        </is>
      </c>
      <c r="H44" s="6" t="inlineStr">
        <is>
          <t>Wynwood</t>
        </is>
      </c>
      <c r="I44" s="6" t="inlineStr">
        <is>
          <t>The Wynwood Original</t>
        </is>
      </c>
      <c r="J44" s="7" t="n">
        <v>1</v>
      </c>
      <c r="K44" s="7" t="inlineStr">
        <is>
          <t>None</t>
        </is>
      </c>
      <c r="L44" s="6" t="n"/>
    </row>
    <row r="45">
      <c r="A45" s="13" t="inlineStr">
        <is>
          <t>0c17f4b2-fe1e-5e95-8790-628c66f31a5a</t>
        </is>
      </c>
      <c r="B45" s="13" t="inlineStr">
        <is>
          <t>Pasión del Cielo Coffee</t>
        </is>
      </c>
      <c r="C45" s="13" t="inlineStr">
        <is>
          <t>venue</t>
        </is>
      </c>
      <c r="D45" s="7" t="inlineStr">
        <is>
          <t>active</t>
        </is>
      </c>
      <c r="E45" s="7" t="inlineStr">
        <is>
          <t>info@pasiondelcielo.com</t>
        </is>
      </c>
      <c r="F45" s="13" t="inlineStr">
        <is>
          <t>Pasión del Cielo Coffee - Brickell</t>
        </is>
      </c>
      <c r="G45" s="13" t="inlineStr">
        <is>
          <t>907 Brickell Ave, Miami, FL 33131</t>
        </is>
      </c>
      <c r="H45" s="13" t="inlineStr">
        <is>
          <t>Brickell</t>
        </is>
      </c>
      <c r="I45" s="13" t="inlineStr">
        <is>
          <t>Heaven on Brickell</t>
        </is>
      </c>
      <c r="J45" s="7" t="n">
        <v>1</v>
      </c>
      <c r="K45" s="7" t="inlineStr">
        <is>
          <t>None</t>
        </is>
      </c>
      <c r="L45" s="13" t="n"/>
    </row>
    <row r="46">
      <c r="A46" s="6" t="inlineStr">
        <is>
          <t>eae8f3ad-d463-5c4a-95a1-4bdb0aca1474</t>
        </is>
      </c>
      <c r="B46" s="6" t="inlineStr">
        <is>
          <t>Plant the Future</t>
        </is>
      </c>
      <c r="C46" s="6" t="inlineStr">
        <is>
          <t>venue</t>
        </is>
      </c>
      <c r="D46" s="7" t="inlineStr">
        <is>
          <t>active</t>
        </is>
      </c>
      <c r="E46" s="7" t="inlineStr">
        <is>
          <t>info@plantthefuture.com</t>
        </is>
      </c>
      <c r="F46" s="6" t="inlineStr">
        <is>
          <t>Plant the Future</t>
        </is>
      </c>
      <c r="G46" s="6" t="inlineStr">
        <is>
          <t>8484 NE 2nd Ave, Miami, FL 33138</t>
        </is>
      </c>
      <c r="H46" s="6" t="inlineStr">
        <is>
          <t>Little River</t>
        </is>
      </c>
      <c r="I46" s="6" t="inlineStr">
        <is>
          <t>The Gas Station That Grew</t>
        </is>
      </c>
      <c r="J46" s="7" t="n">
        <v>1</v>
      </c>
      <c r="K46" s="7" t="inlineStr">
        <is>
          <t>None</t>
        </is>
      </c>
      <c r="L46" s="6" t="n"/>
    </row>
    <row r="47">
      <c r="A47" s="13" t="inlineStr">
        <is>
          <t>499e378f-6144-5a1a-878d-b9c8193b3544</t>
        </is>
      </c>
      <c r="B47" s="13" t="inlineStr">
        <is>
          <t>Pérez Art Museum Miami</t>
        </is>
      </c>
      <c r="C47" s="13" t="inlineStr">
        <is>
          <t>venue</t>
        </is>
      </c>
      <c r="D47" s="7" t="inlineStr">
        <is>
          <t>active</t>
        </is>
      </c>
      <c r="E47" s="7" t="inlineStr">
        <is>
          <t>info@pamm.org</t>
        </is>
      </c>
      <c r="F47" s="13" t="inlineStr">
        <is>
          <t>Pérez Art Museum Miami</t>
        </is>
      </c>
      <c r="G47" s="13" t="inlineStr">
        <is>
          <t>1103 Biscayne Blvd, Miami, FL 33132</t>
        </is>
      </c>
      <c r="H47" s="13" t="inlineStr">
        <is>
          <t>Downtown Miami</t>
        </is>
      </c>
      <c r="I47" s="13" t="inlineStr">
        <is>
          <t>Art on the Bay</t>
        </is>
      </c>
      <c r="J47" s="7" t="n">
        <v>1</v>
      </c>
      <c r="K47" s="7" t="inlineStr">
        <is>
          <t>None</t>
        </is>
      </c>
      <c r="L47" s="13" t="n"/>
    </row>
    <row r="48">
      <c r="A48" s="6" t="inlineStr">
        <is>
          <t>0c3a609b-ca93-5a1f-bc05-cbe8f0ebb0dc</t>
        </is>
      </c>
      <c r="B48" s="6" t="inlineStr">
        <is>
          <t>Regatta Harbour</t>
        </is>
      </c>
      <c r="C48" s="6" t="inlineStr">
        <is>
          <t>venue</t>
        </is>
      </c>
      <c r="D48" s="7" t="inlineStr">
        <is>
          <t>active</t>
        </is>
      </c>
      <c r="E48" s="7" t="inlineStr">
        <is>
          <t>info@regattaharbour.com</t>
        </is>
      </c>
      <c r="F48" s="6" t="inlineStr">
        <is>
          <t>Regatta Harbour</t>
        </is>
      </c>
      <c r="G48" s="6" t="inlineStr">
        <is>
          <t>3385 Pan American Dr, Miami, FL 33133</t>
        </is>
      </c>
      <c r="H48" s="6" t="inlineStr">
        <is>
          <t>Coconut Grove</t>
        </is>
      </c>
      <c r="I48" s="6" t="inlineStr">
        <is>
          <t>Dinner Key Discovery</t>
        </is>
      </c>
      <c r="J48" s="7" t="n">
        <v>1</v>
      </c>
      <c r="K48" s="7" t="inlineStr">
        <is>
          <t>None</t>
        </is>
      </c>
      <c r="L48" s="6" t="n"/>
    </row>
    <row r="49">
      <c r="A49" s="13" t="inlineStr">
        <is>
          <t>013760c2-e7bc-5bc6-8226-a0887e82c453</t>
        </is>
      </c>
      <c r="B49" s="13" t="inlineStr">
        <is>
          <t>Rosetta Bakery</t>
        </is>
      </c>
      <c r="C49" s="13" t="inlineStr">
        <is>
          <t>venue</t>
        </is>
      </c>
      <c r="D49" s="7" t="inlineStr">
        <is>
          <t>active</t>
        </is>
      </c>
      <c r="E49" s="7" t="inlineStr">
        <is>
          <t>info@rosettabakery.com</t>
        </is>
      </c>
      <c r="F49" s="13" t="inlineStr">
        <is>
          <t>Rosetta Bakery - South Beach</t>
        </is>
      </c>
      <c r="G49" s="13" t="inlineStr">
        <is>
          <t>1666 Collins Ave, Miami Beach, FL 33139</t>
        </is>
      </c>
      <c r="H49" s="13" t="inlineStr">
        <is>
          <t>South Beach</t>
        </is>
      </c>
      <c r="I49" s="13" t="inlineStr">
        <is>
          <t>La Dolce Collins</t>
        </is>
      </c>
      <c r="J49" s="7" t="n">
        <v>1</v>
      </c>
      <c r="K49" s="7" t="inlineStr">
        <is>
          <t>None</t>
        </is>
      </c>
      <c r="L49" s="13" t="n"/>
    </row>
    <row r="50">
      <c r="A50" s="6" t="inlineStr">
        <is>
          <t>919575e4-6804-5009-88a5-7deb8ee68e11</t>
        </is>
      </c>
      <c r="B50" s="6" t="inlineStr">
        <is>
          <t>Rubell Museum</t>
        </is>
      </c>
      <c r="C50" s="6" t="inlineStr">
        <is>
          <t>venue</t>
        </is>
      </c>
      <c r="D50" s="7" t="inlineStr">
        <is>
          <t>active</t>
        </is>
      </c>
      <c r="E50" s="7" t="inlineStr">
        <is>
          <t>info@rubellmuseum.org</t>
        </is>
      </c>
      <c r="F50" s="6" t="inlineStr">
        <is>
          <t>Rubell Museum</t>
        </is>
      </c>
      <c r="G50" s="6" t="inlineStr">
        <is>
          <t>1100 NW 23rd St, Miami, FL 33127</t>
        </is>
      </c>
      <c r="H50" s="6" t="inlineStr">
        <is>
          <t>Allapattah</t>
        </is>
      </c>
      <c r="I50" s="6" t="inlineStr">
        <is>
          <t>The Collectors' Warehouse</t>
        </is>
      </c>
      <c r="J50" s="7" t="n">
        <v>1</v>
      </c>
      <c r="K50" s="7" t="inlineStr">
        <is>
          <t>None</t>
        </is>
      </c>
      <c r="L50" s="6" t="n"/>
    </row>
    <row r="51">
      <c r="A51" s="13" t="inlineStr">
        <is>
          <t>af6b0db8-0e00-5f33-8e85-870f037269a4</t>
        </is>
      </c>
      <c r="B51" s="13" t="inlineStr">
        <is>
          <t>Sexy Fish Miami</t>
        </is>
      </c>
      <c r="C51" s="13" t="inlineStr">
        <is>
          <t>venue</t>
        </is>
      </c>
      <c r="D51" s="7" t="inlineStr">
        <is>
          <t>active</t>
        </is>
      </c>
      <c r="E51" s="7" t="inlineStr">
        <is>
          <t>info@sexyfishmiami.com</t>
        </is>
      </c>
      <c r="F51" s="13" t="inlineStr">
        <is>
          <t>Sexy Fish Miami</t>
        </is>
      </c>
      <c r="G51" s="13" t="inlineStr">
        <is>
          <t>1001 S Miami Ave, Miami, FL 33130</t>
        </is>
      </c>
      <c r="H51" s="13" t="inlineStr">
        <is>
          <t>Brickell</t>
        </is>
      </c>
      <c r="I51" s="13" t="inlineStr">
        <is>
          <t>Something's Fishy</t>
        </is>
      </c>
      <c r="J51" s="7" t="n">
        <v>1</v>
      </c>
      <c r="K51" s="7" t="inlineStr">
        <is>
          <t>None</t>
        </is>
      </c>
      <c r="L51" s="13" t="n"/>
    </row>
    <row r="52">
      <c r="A52" s="6" t="inlineStr">
        <is>
          <t>7822bca9-8c50-549d-8a93-a8cee544a19d</t>
        </is>
      </c>
      <c r="B52" s="6" t="inlineStr">
        <is>
          <t>Sugar</t>
        </is>
      </c>
      <c r="C52" s="6" t="inlineStr">
        <is>
          <t>venue</t>
        </is>
      </c>
      <c r="D52" s="7" t="inlineStr">
        <is>
          <t>active</t>
        </is>
      </c>
      <c r="E52" s="7" t="inlineStr">
        <is>
          <t>sugar@easthotels.com</t>
        </is>
      </c>
      <c r="F52" s="6" t="inlineStr">
        <is>
          <t>Sugar Rooftop at EAST, Miami</t>
        </is>
      </c>
      <c r="G52" s="6" t="inlineStr">
        <is>
          <t>788 Brickell Plaza, Floor 40, Miami, FL 33131</t>
        </is>
      </c>
      <c r="H52" s="6" t="inlineStr">
        <is>
          <t>Brickell</t>
        </is>
      </c>
      <c r="I52" s="6" t="inlineStr">
        <is>
          <t>Forty Floors Up</t>
        </is>
      </c>
      <c r="J52" s="7" t="n">
        <v>1</v>
      </c>
      <c r="K52" s="7" t="inlineStr">
        <is>
          <t>None</t>
        </is>
      </c>
      <c r="L52" s="6" t="n"/>
    </row>
    <row r="53">
      <c r="A53" s="13" t="inlineStr">
        <is>
          <t>4419365c-e6be-59ab-b81a-8c46e679f909</t>
        </is>
      </c>
      <c r="B53" s="13" t="inlineStr">
        <is>
          <t>Superblue Miami</t>
        </is>
      </c>
      <c r="C53" s="13" t="inlineStr">
        <is>
          <t>venue</t>
        </is>
      </c>
      <c r="D53" s="7" t="inlineStr">
        <is>
          <t>active</t>
        </is>
      </c>
      <c r="E53" s="7" t="inlineStr">
        <is>
          <t>info@superblue.com</t>
        </is>
      </c>
      <c r="F53" s="13" t="inlineStr">
        <is>
          <t>Superblue Miami</t>
        </is>
      </c>
      <c r="G53" s="13" t="inlineStr">
        <is>
          <t>1101 NW 23rd St, Miami, FL 33127</t>
        </is>
      </c>
      <c r="H53" s="13" t="inlineStr">
        <is>
          <t>Allapattah</t>
        </is>
      </c>
      <c r="I53" s="13" t="inlineStr">
        <is>
          <t>Step Inside the Art</t>
        </is>
      </c>
      <c r="J53" s="7" t="n">
        <v>1</v>
      </c>
      <c r="K53" s="7" t="inlineStr">
        <is>
          <t>None</t>
        </is>
      </c>
      <c r="L53" s="13" t="n"/>
    </row>
    <row r="54">
      <c r="A54" s="6" t="inlineStr">
        <is>
          <t>8b5e8dfd-4d3a-5e78-b0db-a018c6ba2068</t>
        </is>
      </c>
      <c r="B54" s="6" t="inlineStr">
        <is>
          <t>Sweat Records</t>
        </is>
      </c>
      <c r="C54" s="6" t="inlineStr">
        <is>
          <t>venue</t>
        </is>
      </c>
      <c r="D54" s="7" t="inlineStr">
        <is>
          <t>active</t>
        </is>
      </c>
      <c r="E54" s="7" t="inlineStr">
        <is>
          <t>info@sweatrecordsmiami.com</t>
        </is>
      </c>
      <c r="F54" s="6" t="inlineStr">
        <is>
          <t>Sweat Records</t>
        </is>
      </c>
      <c r="G54" s="6" t="inlineStr">
        <is>
          <t>5505 NE 2nd Ave, Miami, FL 33137</t>
        </is>
      </c>
      <c r="H54" s="6" t="inlineStr">
        <is>
          <t>Little Haiti / Little River</t>
        </is>
      </c>
      <c r="I54" s="6" t="inlineStr">
        <is>
          <t>Crate Digger</t>
        </is>
      </c>
      <c r="J54" s="7" t="n">
        <v>1</v>
      </c>
      <c r="K54" s="7" t="inlineStr">
        <is>
          <t>None</t>
        </is>
      </c>
      <c r="L54" s="6" t="n"/>
    </row>
    <row r="55">
      <c r="A55" s="13" t="inlineStr">
        <is>
          <t>33a05f27-fd32-5bff-9c25-4d95cf230f25</t>
        </is>
      </c>
      <c r="B55" s="13" t="inlineStr">
        <is>
          <t>Tea Room</t>
        </is>
      </c>
      <c r="C55" s="13" t="inlineStr">
        <is>
          <t>venue</t>
        </is>
      </c>
      <c r="D55" s="7" t="inlineStr">
        <is>
          <t>active</t>
        </is>
      </c>
      <c r="E55" s="7" t="inlineStr">
        <is>
          <t>tearoom@easthotels.com</t>
        </is>
      </c>
      <c r="F55" s="13" t="inlineStr">
        <is>
          <t>Tea Room at EAST, Miami</t>
        </is>
      </c>
      <c r="G55" s="13" t="inlineStr">
        <is>
          <t>788 Brickell Plaza, Miami, FL 33131</t>
        </is>
      </c>
      <c r="H55" s="13" t="inlineStr">
        <is>
          <t>Brickell</t>
        </is>
      </c>
      <c r="I55" s="13" t="inlineStr">
        <is>
          <t>High Tea, Literally</t>
        </is>
      </c>
      <c r="J55" s="7" t="n">
        <v>1</v>
      </c>
      <c r="K55" s="7" t="inlineStr">
        <is>
          <t>None</t>
        </is>
      </c>
      <c r="L55" s="13" t="n"/>
    </row>
    <row r="56">
      <c r="A56" s="6" t="inlineStr">
        <is>
          <t>b3e6fae9-38f7-52e0-a4c3-17d2e88ef2f9</t>
        </is>
      </c>
      <c r="B56" s="6" t="inlineStr">
        <is>
          <t>The Bass</t>
        </is>
      </c>
      <c r="C56" s="6" t="inlineStr">
        <is>
          <t>venue</t>
        </is>
      </c>
      <c r="D56" s="7" t="inlineStr">
        <is>
          <t>active</t>
        </is>
      </c>
      <c r="E56" s="7" t="inlineStr">
        <is>
          <t>info@thebass.org</t>
        </is>
      </c>
      <c r="F56" s="6" t="inlineStr">
        <is>
          <t>The Bass</t>
        </is>
      </c>
      <c r="G56" s="6" t="inlineStr">
        <is>
          <t>2100 Collins Ave, Miami Beach, FL 33139</t>
        </is>
      </c>
      <c r="H56" s="6" t="inlineStr">
        <is>
          <t>South Beach</t>
        </is>
      </c>
      <c r="I56" s="6" t="inlineStr">
        <is>
          <t>Bass Notes</t>
        </is>
      </c>
      <c r="J56" s="7" t="n">
        <v>1</v>
      </c>
      <c r="K56" s="7" t="inlineStr">
        <is>
          <t>None</t>
        </is>
      </c>
      <c r="L56" s="6" t="n"/>
    </row>
    <row r="57">
      <c r="A57" s="13" t="inlineStr">
        <is>
          <t>042a4a79-469b-55b5-b06a-ec5d012aa167</t>
        </is>
      </c>
      <c r="B57" s="13" t="inlineStr">
        <is>
          <t>The Corner</t>
        </is>
      </c>
      <c r="C57" s="13" t="inlineStr">
        <is>
          <t>venue</t>
        </is>
      </c>
      <c r="D57" s="7" t="inlineStr">
        <is>
          <t>active</t>
        </is>
      </c>
      <c r="E57" s="7" t="inlineStr">
        <is>
          <t>info@thecornermiami.com</t>
        </is>
      </c>
      <c r="F57" s="13" t="inlineStr">
        <is>
          <t>The Corner</t>
        </is>
      </c>
      <c r="G57" s="13" t="inlineStr">
        <is>
          <t>1035 N Miami Ave #101, Miami, FL 33136</t>
        </is>
      </c>
      <c r="H57" s="13" t="inlineStr">
        <is>
          <t>Downtown Miami / Park West</t>
        </is>
      </c>
      <c r="I57" s="13" t="inlineStr">
        <is>
          <t>Meet Me at The Corner</t>
        </is>
      </c>
      <c r="J57" s="7" t="n">
        <v>1</v>
      </c>
      <c r="K57" s="7" t="inlineStr">
        <is>
          <t>None</t>
        </is>
      </c>
      <c r="L57" s="13" t="n"/>
    </row>
    <row r="58">
      <c r="A58" s="6" t="inlineStr">
        <is>
          <t>36c08d29-1d66-5b07-922e-847467d4fa43</t>
        </is>
      </c>
      <c r="B58" s="6" t="inlineStr">
        <is>
          <t>The Kampong</t>
        </is>
      </c>
      <c r="C58" s="6" t="inlineStr">
        <is>
          <t>venue</t>
        </is>
      </c>
      <c r="D58" s="7" t="inlineStr">
        <is>
          <t>active</t>
        </is>
      </c>
      <c r="E58" s="7" t="inlineStr">
        <is>
          <t>kampong@ntbg.org</t>
        </is>
      </c>
      <c r="F58" s="6" t="inlineStr">
        <is>
          <t>The Kampong (National Tropical Botanical Garden)</t>
        </is>
      </c>
      <c r="G58" s="6" t="inlineStr">
        <is>
          <t>4013 S Douglas Rd, Miami, FL 33133</t>
        </is>
      </c>
      <c r="H58" s="6" t="inlineStr">
        <is>
          <t>Coconut Grove</t>
        </is>
      </c>
      <c r="I58" s="6" t="inlineStr">
        <is>
          <t>The Secret Garden of the Grove</t>
        </is>
      </c>
      <c r="J58" s="7" t="n">
        <v>1</v>
      </c>
      <c r="K58" s="7" t="inlineStr">
        <is>
          <t>None</t>
        </is>
      </c>
      <c r="L58" s="6" t="n"/>
    </row>
    <row r="59">
      <c r="A59" s="13" t="inlineStr">
        <is>
          <t>ec81a30a-4798-5e3f-ab15-130b8a9504d3</t>
        </is>
      </c>
      <c r="B59" s="13" t="inlineStr">
        <is>
          <t>The Salty Donut</t>
        </is>
      </c>
      <c r="C59" s="13" t="inlineStr">
        <is>
          <t>venue</t>
        </is>
      </c>
      <c r="D59" s="7" t="inlineStr">
        <is>
          <t>active</t>
        </is>
      </c>
      <c r="E59" s="7" t="inlineStr">
        <is>
          <t>media@saltydonut.com</t>
        </is>
      </c>
      <c r="F59" s="13" t="inlineStr">
        <is>
          <t>The Salty Donut - Wynwood</t>
        </is>
      </c>
      <c r="G59" s="13" t="inlineStr">
        <is>
          <t>50 NW 24th St, Unit 106, Miami, FL 33127</t>
        </is>
      </c>
      <c r="H59" s="13" t="inlineStr">
        <is>
          <t>Wynwood</t>
        </is>
      </c>
      <c r="I59" s="13" t="inlineStr">
        <is>
          <t>Donuts, Coffee, Vibes</t>
        </is>
      </c>
      <c r="J59" s="7" t="n">
        <v>1</v>
      </c>
      <c r="K59" s="7" t="inlineStr">
        <is>
          <t>None</t>
        </is>
      </c>
      <c r="L59" s="13" t="n"/>
    </row>
    <row r="60">
      <c r="A60" s="6" t="inlineStr">
        <is>
          <t>f34c4834-f4f2-558a-b365-02eb6494393c</t>
        </is>
      </c>
      <c r="B60" s="6" t="inlineStr">
        <is>
          <t>The Standard Spa, Miami Beach</t>
        </is>
      </c>
      <c r="C60" s="6" t="inlineStr">
        <is>
          <t>venue</t>
        </is>
      </c>
      <c r="D60" s="7" t="inlineStr">
        <is>
          <t>active</t>
        </is>
      </c>
      <c r="E60" s="7" t="inlineStr">
        <is>
          <t>spa.miami@standardhotels.com</t>
        </is>
      </c>
      <c r="F60" s="6" t="inlineStr">
        <is>
          <t>The Standard Spa, Miami Beach</t>
        </is>
      </c>
      <c r="G60" s="6" t="inlineStr">
        <is>
          <t>40 Island Ave, Miami Beach, FL 33139</t>
        </is>
      </c>
      <c r="H60" s="6" t="inlineStr">
        <is>
          <t>Belle Isle / South Beach</t>
        </is>
      </c>
      <c r="I60" s="6" t="inlineStr">
        <is>
          <t>Island of Calm</t>
        </is>
      </c>
      <c r="J60" s="7" t="n">
        <v>1</v>
      </c>
      <c r="K60" s="7" t="inlineStr">
        <is>
          <t>None</t>
        </is>
      </c>
      <c r="L60" s="6" t="n"/>
    </row>
    <row r="61">
      <c r="A61" s="13" t="inlineStr">
        <is>
          <t>5474f431-39f5-5368-ae3c-087317e8bafb</t>
        </is>
      </c>
      <c r="B61" s="13" t="inlineStr">
        <is>
          <t>The Temple House</t>
        </is>
      </c>
      <c r="C61" s="13" t="inlineStr">
        <is>
          <t>venue</t>
        </is>
      </c>
      <c r="D61" s="7" t="inlineStr">
        <is>
          <t>active</t>
        </is>
      </c>
      <c r="E61" s="7" t="inlineStr">
        <is>
          <t>info@thetemplehouse.com</t>
        </is>
      </c>
      <c r="F61" s="13" t="inlineStr">
        <is>
          <t>The Temple House</t>
        </is>
      </c>
      <c r="G61" s="13" t="inlineStr">
        <is>
          <t>1415 Euclid Ave, Miami Beach, FL 33139</t>
        </is>
      </c>
      <c r="H61" s="13" t="inlineStr">
        <is>
          <t>South Beach</t>
        </is>
      </c>
      <c r="I61" s="13" t="inlineStr">
        <is>
          <t>Deco in Disguise</t>
        </is>
      </c>
      <c r="J61" s="7" t="n">
        <v>1</v>
      </c>
      <c r="K61" s="7" t="inlineStr">
        <is>
          <t>None</t>
        </is>
      </c>
      <c r="L61" s="13" t="n"/>
    </row>
    <row r="62">
      <c r="A62" s="6" t="inlineStr">
        <is>
          <t>38947068-093a-5074-8308-fb73e9368cb7</t>
        </is>
      </c>
      <c r="B62" s="6" t="inlineStr">
        <is>
          <t>Threefold Cafe</t>
        </is>
      </c>
      <c r="C62" s="6" t="inlineStr">
        <is>
          <t>venue</t>
        </is>
      </c>
      <c r="D62" s="7" t="inlineStr">
        <is>
          <t>active</t>
        </is>
      </c>
      <c r="E62" s="7" t="inlineStr">
        <is>
          <t>info@threefoldcafe.com</t>
        </is>
      </c>
      <c r="F62" s="6" t="inlineStr">
        <is>
          <t>Threefold Cafe</t>
        </is>
      </c>
      <c r="G62" s="6" t="inlineStr">
        <is>
          <t>141 Giralda Ave, Coral Gables, FL 33134</t>
        </is>
      </c>
      <c r="H62" s="6" t="inlineStr">
        <is>
          <t>Coral Gables</t>
        </is>
      </c>
      <c r="I62" s="6" t="inlineStr">
        <is>
          <t>Down Under on Giralda</t>
        </is>
      </c>
      <c r="J62" s="7" t="n">
        <v>1</v>
      </c>
      <c r="K62" s="7" t="inlineStr">
        <is>
          <t>None</t>
        </is>
      </c>
      <c r="L62" s="6" t="n"/>
    </row>
    <row r="63">
      <c r="A63" s="13" t="inlineStr">
        <is>
          <t>fed2dca2-9985-578d-bbda-5e2c59018af9</t>
        </is>
      </c>
      <c r="B63" s="13" t="inlineStr">
        <is>
          <t>Under the Mango Tree</t>
        </is>
      </c>
      <c r="C63" s="13" t="inlineStr">
        <is>
          <t>venue</t>
        </is>
      </c>
      <c r="D63" s="7" t="inlineStr">
        <is>
          <t>active</t>
        </is>
      </c>
      <c r="E63" s="7" t="inlineStr">
        <is>
          <t>hello@mangotreemiami.com</t>
        </is>
      </c>
      <c r="F63" s="13" t="inlineStr">
        <is>
          <t>Under the Mango Tree</t>
        </is>
      </c>
      <c r="G63" s="13" t="inlineStr">
        <is>
          <t>737 5th St, Miami Beach, FL 33139</t>
        </is>
      </c>
      <c r="H63" s="13" t="inlineStr">
        <is>
          <t>South Beach (South of Fifth)</t>
        </is>
      </c>
      <c r="I63" s="13" t="inlineStr">
        <is>
          <t>Mango State of Mind</t>
        </is>
      </c>
      <c r="J63" s="7" t="n">
        <v>1</v>
      </c>
      <c r="K63" s="7" t="inlineStr">
        <is>
          <t>None</t>
        </is>
      </c>
      <c r="L63" s="13" t="n"/>
    </row>
    <row r="64">
      <c r="A64" s="6" t="inlineStr">
        <is>
          <t>17fd3975-dc00-523d-be6e-6eee84d5714d</t>
        </is>
      </c>
      <c r="B64" s="6" t="inlineStr">
        <is>
          <t>Vice City Bean</t>
        </is>
      </c>
      <c r="C64" s="6" t="inlineStr">
        <is>
          <t>venue</t>
        </is>
      </c>
      <c r="D64" s="7" t="inlineStr">
        <is>
          <t>active</t>
        </is>
      </c>
      <c r="E64" s="7" t="inlineStr">
        <is>
          <t>hello@vicecitybean.com</t>
        </is>
      </c>
      <c r="F64" s="6" t="inlineStr">
        <is>
          <t>Vice City Bean</t>
        </is>
      </c>
      <c r="G64" s="6" t="inlineStr">
        <is>
          <t>1657 N Miami Ave, Unit C, Miami, FL 33136</t>
        </is>
      </c>
      <c r="H64" s="6" t="inlineStr">
        <is>
          <t>Edgewater</t>
        </is>
      </c>
      <c r="I64" s="6" t="inlineStr">
        <is>
          <t>Flagship of Vice City</t>
        </is>
      </c>
      <c r="J64" s="7" t="n">
        <v>1</v>
      </c>
      <c r="K64" s="7" t="inlineStr">
        <is>
          <t>None</t>
        </is>
      </c>
      <c r="L64" s="6" t="n"/>
    </row>
    <row r="65">
      <c r="A65" s="13" t="inlineStr">
        <is>
          <t>94351bfa-6108-526e-afc3-cdf02a54a8a2</t>
        </is>
      </c>
      <c r="B65" s="13" t="inlineStr">
        <is>
          <t>Wynwood Walls</t>
        </is>
      </c>
      <c r="C65" s="13" t="inlineStr">
        <is>
          <t>venue</t>
        </is>
      </c>
      <c r="D65" s="7" t="inlineStr">
        <is>
          <t>active</t>
        </is>
      </c>
      <c r="E65" s="7" t="inlineStr">
        <is>
          <t>info@thewynwoodwalls.com</t>
        </is>
      </c>
      <c r="F65" s="13" t="inlineStr">
        <is>
          <t>Wynwood Walls</t>
        </is>
      </c>
      <c r="G65" s="13" t="inlineStr">
        <is>
          <t>2516 NW 2nd Ave, Miami, FL 33127</t>
        </is>
      </c>
      <c r="H65" s="13" t="inlineStr">
        <is>
          <t>Wynwood</t>
        </is>
      </c>
      <c r="I65" s="13" t="inlineStr">
        <is>
          <t>Walls That Talk</t>
        </is>
      </c>
      <c r="J65" s="7" t="n">
        <v>1</v>
      </c>
      <c r="K65" s="7" t="inlineStr">
        <is>
          <t>None</t>
        </is>
      </c>
      <c r="L65" s="13" t="n"/>
    </row>
  </sheetData>
  <autoFilter ref="A3:L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5"/>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24" customWidth="1" min="3" max="3"/>
    <col width="28" customWidth="1" min="4" max="4"/>
    <col width="34" customWidth="1" min="5" max="5"/>
    <col width="14" customWidth="1" min="6" max="6"/>
    <col width="20" customWidth="1" min="7" max="7"/>
    <col width="11" customWidth="1" min="8" max="8"/>
    <col width="11" customWidth="1" min="9" max="9"/>
    <col width="12" customWidth="1" min="10" max="10"/>
    <col width="16" customWidth="1" min="11" max="11"/>
    <col width="20" customWidth="1" min="12" max="12"/>
    <col width="11" customWidth="1" min="13" max="13"/>
    <col width="22" customWidth="1" min="14" max="14"/>
    <col width="16" customWidth="1" min="15" max="15"/>
    <col width="13" customWidth="1" min="16" max="16"/>
    <col width="28" customWidth="1" min="17" max="17"/>
  </cols>
  <sheetData>
    <row r="1">
      <c r="A1" s="1" t="inlineStr">
        <is>
          <t>VENUES - address/coordinate completeness. Map links open Google Maps.</t>
        </is>
      </c>
    </row>
    <row r="3">
      <c r="A3" s="2" t="inlineStr">
        <is>
          <t>Venue ID</t>
        </is>
      </c>
      <c r="B3" s="2" t="inlineStr">
        <is>
          <t>Partner ID</t>
        </is>
      </c>
      <c r="C3" s="3" t="inlineStr">
        <is>
          <t>Partner Name</t>
        </is>
      </c>
      <c r="D3" s="4" t="inlineStr">
        <is>
          <t>Venue Name</t>
        </is>
      </c>
      <c r="E3" s="4" t="inlineStr">
        <is>
          <t>Address</t>
        </is>
      </c>
      <c r="F3" s="4" t="inlineStr">
        <is>
          <t>City</t>
        </is>
      </c>
      <c r="G3" s="4" t="inlineStr">
        <is>
          <t>Neighborhood</t>
        </is>
      </c>
      <c r="H3" s="4" t="inlineStr">
        <is>
          <t>Latitude</t>
        </is>
      </c>
      <c r="I3" s="4" t="inlineStr">
        <is>
          <t>Longitude</t>
        </is>
      </c>
      <c r="J3" s="5" t="inlineStr">
        <is>
          <t>Map Link</t>
        </is>
      </c>
      <c r="K3" s="4" t="inlineStr">
        <is>
          <t>Hours</t>
        </is>
      </c>
      <c r="L3" s="4" t="inlineStr">
        <is>
          <t>Hours Note</t>
        </is>
      </c>
      <c r="M3" s="4" t="inlineStr">
        <is>
          <t>Status</t>
        </is>
      </c>
      <c r="N3" s="4" t="inlineStr">
        <is>
          <t>Coordinate Source</t>
        </is>
      </c>
      <c r="O3" s="5" t="inlineStr">
        <is>
          <t>Address Complete?</t>
        </is>
      </c>
      <c r="P3" s="5" t="inlineStr">
        <is>
          <t>Hours Status</t>
        </is>
      </c>
      <c r="Q3" s="5" t="inlineStr">
        <is>
          <t>Linked Quest</t>
        </is>
      </c>
    </row>
    <row r="4">
      <c r="A4" s="6" t="inlineStr">
        <is>
          <t>6b7bfbce-d54d-5bae-a404-a3556226af26</t>
        </is>
      </c>
      <c r="B4" s="6" t="inlineStr">
        <is>
          <t>919575e4-6804-5009-88a5-7deb8ee68e11</t>
        </is>
      </c>
      <c r="C4" s="6" t="inlineStr">
        <is>
          <t>Rubell Museum</t>
        </is>
      </c>
      <c r="D4" s="6" t="inlineStr">
        <is>
          <t>Rubell Museum</t>
        </is>
      </c>
      <c r="E4" s="6" t="inlineStr">
        <is>
          <t>1100 NW 23rd St, Miami, FL 33127</t>
        </is>
      </c>
      <c r="F4" s="6" t="inlineStr">
        <is>
          <t>Miami</t>
        </is>
      </c>
      <c r="G4" s="6" t="inlineStr">
        <is>
          <t>Allapattah</t>
        </is>
      </c>
      <c r="H4" s="8" t="n">
        <v>25.7987088</v>
      </c>
      <c r="I4" s="8" t="n">
        <v>-80.214203</v>
      </c>
      <c r="J4" s="9" t="inlineStr">
        <is>
          <t>View on Map</t>
        </is>
      </c>
      <c r="K4" s="6" t="n"/>
      <c r="L4" s="6" t="n"/>
      <c r="M4" s="7" t="inlineStr">
        <is>
          <t>active</t>
        </is>
      </c>
      <c r="N4" s="6" t="inlineStr">
        <is>
          <t>workbook</t>
        </is>
      </c>
      <c r="O4" s="7" t="inlineStr">
        <is>
          <t>Complete</t>
        </is>
      </c>
      <c r="P4" s="18" t="inlineStr">
        <is>
          <t>Missing</t>
        </is>
      </c>
      <c r="Q4" s="6" t="inlineStr">
        <is>
          <t>The Collectors' Warehouse</t>
        </is>
      </c>
    </row>
    <row r="5">
      <c r="A5" s="13" t="inlineStr">
        <is>
          <t>d3be2ff4-dd15-59a7-bae7-2d5e66849ce7</t>
        </is>
      </c>
      <c r="B5" s="13" t="inlineStr">
        <is>
          <t>4419365c-e6be-59ab-b81a-8c46e679f909</t>
        </is>
      </c>
      <c r="C5" s="13" t="inlineStr">
        <is>
          <t>Superblue Miami</t>
        </is>
      </c>
      <c r="D5" s="13" t="inlineStr">
        <is>
          <t>Superblue Miami</t>
        </is>
      </c>
      <c r="E5" s="13" t="inlineStr">
        <is>
          <t>1101 NW 23rd St, Miami, FL 33127</t>
        </is>
      </c>
      <c r="F5" s="13" t="inlineStr">
        <is>
          <t>Miami</t>
        </is>
      </c>
      <c r="G5" s="13" t="inlineStr">
        <is>
          <t>Allapattah</t>
        </is>
      </c>
      <c r="H5" s="14" t="n">
        <v>25.7991925</v>
      </c>
      <c r="I5" s="14" t="n">
        <v>-80.2138844</v>
      </c>
      <c r="J5" s="15" t="inlineStr">
        <is>
          <t>View on Map</t>
        </is>
      </c>
      <c r="K5" s="13" t="n"/>
      <c r="L5" s="13" t="n"/>
      <c r="M5" s="7" t="inlineStr">
        <is>
          <t>active</t>
        </is>
      </c>
      <c r="N5" s="13" t="inlineStr">
        <is>
          <t>workbook</t>
        </is>
      </c>
      <c r="O5" s="7" t="inlineStr">
        <is>
          <t>Complete</t>
        </is>
      </c>
      <c r="P5" s="18" t="inlineStr">
        <is>
          <t>Missing</t>
        </is>
      </c>
      <c r="Q5" s="13" t="inlineStr">
        <is>
          <t>Step Inside the Art</t>
        </is>
      </c>
    </row>
    <row r="6">
      <c r="A6" s="6" t="inlineStr">
        <is>
          <t>6eb2e4f0-ff69-5f26-8191-1bb8382cef34</t>
        </is>
      </c>
      <c r="B6" s="6" t="inlineStr">
        <is>
          <t>f34c4834-f4f2-558a-b365-02eb6494393c</t>
        </is>
      </c>
      <c r="C6" s="6" t="inlineStr">
        <is>
          <t>The Standard Spa, Miami Beach</t>
        </is>
      </c>
      <c r="D6" s="6" t="inlineStr">
        <is>
          <t>The Standard Spa, Miami Beach</t>
        </is>
      </c>
      <c r="E6" s="6" t="inlineStr">
        <is>
          <t>40 Island Ave, Miami Beach, FL 33139</t>
        </is>
      </c>
      <c r="F6" s="6" t="inlineStr">
        <is>
          <t>Miami Beach</t>
        </is>
      </c>
      <c r="G6" s="6" t="inlineStr">
        <is>
          <t>Belle Isle / South Beach</t>
        </is>
      </c>
      <c r="H6" s="8" t="n">
        <v>25.79175</v>
      </c>
      <c r="I6" s="8" t="n">
        <v>-80.149086</v>
      </c>
      <c r="J6" s="9" t="inlineStr">
        <is>
          <t>View on Map</t>
        </is>
      </c>
      <c r="K6" s="6" t="n"/>
      <c r="L6" s="6" t="n"/>
      <c r="M6" s="7" t="inlineStr">
        <is>
          <t>active</t>
        </is>
      </c>
      <c r="N6" s="6" t="inlineStr">
        <is>
          <t>workbook</t>
        </is>
      </c>
      <c r="O6" s="7" t="inlineStr">
        <is>
          <t>Complete</t>
        </is>
      </c>
      <c r="P6" s="18" t="inlineStr">
        <is>
          <t>Missing</t>
        </is>
      </c>
      <c r="Q6" s="6" t="inlineStr">
        <is>
          <t>Island of Calm</t>
        </is>
      </c>
    </row>
    <row r="7">
      <c r="A7" s="13" t="inlineStr">
        <is>
          <t>e3b25e07-5c7f-5eb7-89ee-4484b4896fb5</t>
        </is>
      </c>
      <c r="B7" s="13" t="inlineStr">
        <is>
          <t>cc5bcf3c-8768-582d-9857-4b8bd0521b32</t>
        </is>
      </c>
      <c r="C7" s="13" t="inlineStr">
        <is>
          <t>Brickell City Centre</t>
        </is>
      </c>
      <c r="D7" s="13" t="inlineStr">
        <is>
          <t>Brickell City Centre</t>
        </is>
      </c>
      <c r="E7" s="13" t="inlineStr">
        <is>
          <t>701 S Miami Ave, Miami, FL 33131</t>
        </is>
      </c>
      <c r="F7" s="13" t="inlineStr">
        <is>
          <t>Miami</t>
        </is>
      </c>
      <c r="G7" s="13" t="inlineStr">
        <is>
          <t>Brickell</t>
        </is>
      </c>
      <c r="H7" s="14" t="n">
        <v>25.7676777</v>
      </c>
      <c r="I7" s="14" t="n">
        <v>-80.1930011</v>
      </c>
      <c r="J7" s="15" t="inlineStr">
        <is>
          <t>View on Map</t>
        </is>
      </c>
      <c r="K7" s="13" t="n"/>
      <c r="L7" s="13" t="n"/>
      <c r="M7" s="7" t="inlineStr">
        <is>
          <t>active</t>
        </is>
      </c>
      <c r="N7" s="13" t="inlineStr">
        <is>
          <t>geocoded (high, structured_address)</t>
        </is>
      </c>
      <c r="O7" s="7" t="inlineStr">
        <is>
          <t>Complete</t>
        </is>
      </c>
      <c r="P7" s="18" t="inlineStr">
        <is>
          <t>Missing</t>
        </is>
      </c>
      <c r="Q7" s="13" t="inlineStr">
        <is>
          <t>The Vertical City</t>
        </is>
      </c>
    </row>
    <row r="8">
      <c r="A8" s="6" t="inlineStr">
        <is>
          <t>42b31588-7629-5b8c-983b-3067c04f657f</t>
        </is>
      </c>
      <c r="B8" s="6" t="inlineStr">
        <is>
          <t>8397b449-800f-5c57-b5b3-c492219c5e57</t>
        </is>
      </c>
      <c r="C8" s="6" t="inlineStr">
        <is>
          <t>Komodo Miami</t>
        </is>
      </c>
      <c r="D8" s="6" t="inlineStr">
        <is>
          <t>Komodo Miami</t>
        </is>
      </c>
      <c r="E8" s="6" t="inlineStr">
        <is>
          <t>801 Brickell Ave, Miami, FL 33131</t>
        </is>
      </c>
      <c r="F8" s="6" t="inlineStr">
        <is>
          <t>Miami</t>
        </is>
      </c>
      <c r="G8" s="6" t="inlineStr">
        <is>
          <t>Brickell</t>
        </is>
      </c>
      <c r="H8" s="8" t="n">
        <v>25.7656196</v>
      </c>
      <c r="I8" s="8" t="n">
        <v>-80.1901639</v>
      </c>
      <c r="J8" s="9" t="inlineStr">
        <is>
          <t>View on Map</t>
        </is>
      </c>
      <c r="K8" s="6" t="n"/>
      <c r="L8" s="6" t="n"/>
      <c r="M8" s="7" t="inlineStr">
        <is>
          <t>active</t>
        </is>
      </c>
      <c r="N8" s="6" t="inlineStr">
        <is>
          <t>workbook</t>
        </is>
      </c>
      <c r="O8" s="7" t="inlineStr">
        <is>
          <t>Complete</t>
        </is>
      </c>
      <c r="P8" s="18" t="inlineStr">
        <is>
          <t>Missing</t>
        </is>
      </c>
      <c r="Q8" s="6" t="inlineStr">
        <is>
          <t>Dragon Hunting in Brickell</t>
        </is>
      </c>
    </row>
    <row r="9">
      <c r="A9" s="13" t="inlineStr">
        <is>
          <t>0f6a6b02-c168-55be-b383-246fbb54fc65</t>
        </is>
      </c>
      <c r="B9" s="13" t="inlineStr">
        <is>
          <t>05815fa9-244a-54eb-8b42-8aaacfa1a829</t>
        </is>
      </c>
      <c r="C9" s="13" t="inlineStr">
        <is>
          <t>Miami Circle at Brickell Point</t>
        </is>
      </c>
      <c r="D9" s="13" t="inlineStr">
        <is>
          <t>Miami Circle Park</t>
        </is>
      </c>
      <c r="E9" s="13" t="inlineStr">
        <is>
          <t>401 Brickell Ave, Miami, FL 33131</t>
        </is>
      </c>
      <c r="F9" s="13" t="inlineStr">
        <is>
          <t>Miami</t>
        </is>
      </c>
      <c r="G9" s="13" t="inlineStr">
        <is>
          <t>Brickell</t>
        </is>
      </c>
      <c r="H9" s="14" t="n">
        <v>25.769381</v>
      </c>
      <c r="I9" s="14" t="n">
        <v>-80.189919</v>
      </c>
      <c r="J9" s="15" t="inlineStr">
        <is>
          <t>View on Map</t>
        </is>
      </c>
      <c r="K9" s="13" t="n"/>
      <c r="L9" s="13" t="n"/>
      <c r="M9" s="7" t="inlineStr">
        <is>
          <t>active</t>
        </is>
      </c>
      <c r="N9" s="13" t="inlineStr">
        <is>
          <t>workbook</t>
        </is>
      </c>
      <c r="O9" s="7" t="inlineStr">
        <is>
          <t>Complete</t>
        </is>
      </c>
      <c r="P9" s="18" t="inlineStr">
        <is>
          <t>Missing</t>
        </is>
      </c>
      <c r="Q9" s="13" t="inlineStr">
        <is>
          <t>The 2,000-Year-Old Circle</t>
        </is>
      </c>
    </row>
    <row r="10">
      <c r="A10" s="6" t="inlineStr">
        <is>
          <t>e18a2c1e-1f8a-5d9d-99ff-0484a375fa60</t>
        </is>
      </c>
      <c r="B10" s="6" t="inlineStr">
        <is>
          <t>0c17f4b2-fe1e-5e95-8790-628c66f31a5a</t>
        </is>
      </c>
      <c r="C10" s="6" t="inlineStr">
        <is>
          <t>Pasión del Cielo Coffee</t>
        </is>
      </c>
      <c r="D10" s="6" t="inlineStr">
        <is>
          <t>Pasión del Cielo Coffee - Brickell</t>
        </is>
      </c>
      <c r="E10" s="6" t="inlineStr">
        <is>
          <t>907 Brickell Ave, Miami, FL 33131</t>
        </is>
      </c>
      <c r="F10" s="6" t="inlineStr">
        <is>
          <t>Miami</t>
        </is>
      </c>
      <c r="G10" s="6" t="inlineStr">
        <is>
          <t>Brickell</t>
        </is>
      </c>
      <c r="H10" s="8" t="n">
        <v>25.7651768</v>
      </c>
      <c r="I10" s="8" t="n">
        <v>-80.1908292</v>
      </c>
      <c r="J10" s="9" t="inlineStr">
        <is>
          <t>View on Map</t>
        </is>
      </c>
      <c r="K10" s="6" t="n"/>
      <c r="L10" s="6" t="n"/>
      <c r="M10" s="7" t="inlineStr">
        <is>
          <t>active</t>
        </is>
      </c>
      <c r="N10" s="6" t="inlineStr">
        <is>
          <t>geocoded (high, structured_address)</t>
        </is>
      </c>
      <c r="O10" s="7" t="inlineStr">
        <is>
          <t>Complete</t>
        </is>
      </c>
      <c r="P10" s="18" t="inlineStr">
        <is>
          <t>Missing</t>
        </is>
      </c>
      <c r="Q10" s="6" t="inlineStr">
        <is>
          <t>Heaven on Brickell</t>
        </is>
      </c>
    </row>
    <row r="11">
      <c r="A11" s="13" t="inlineStr">
        <is>
          <t>c30b0989-aeab-5535-bf9a-00f0f92d28c8</t>
        </is>
      </c>
      <c r="B11" s="13" t="inlineStr">
        <is>
          <t>af6b0db8-0e00-5f33-8e85-870f037269a4</t>
        </is>
      </c>
      <c r="C11" s="13" t="inlineStr">
        <is>
          <t>Sexy Fish Miami</t>
        </is>
      </c>
      <c r="D11" s="13" t="inlineStr">
        <is>
          <t>Sexy Fish Miami</t>
        </is>
      </c>
      <c r="E11" s="13" t="inlineStr">
        <is>
          <t>1001 S Miami Ave, Miami, FL 33130</t>
        </is>
      </c>
      <c r="F11" s="13" t="inlineStr">
        <is>
          <t>Miami</t>
        </is>
      </c>
      <c r="G11" s="13" t="inlineStr">
        <is>
          <t>Brickell</t>
        </is>
      </c>
      <c r="H11" s="14" t="n">
        <v>25.7643527</v>
      </c>
      <c r="I11" s="14" t="n">
        <v>-80.19305129999999</v>
      </c>
      <c r="J11" s="15" t="inlineStr">
        <is>
          <t>View on Map</t>
        </is>
      </c>
      <c r="K11" s="13" t="n"/>
      <c r="L11" s="13" t="n"/>
      <c r="M11" s="7" t="inlineStr">
        <is>
          <t>active</t>
        </is>
      </c>
      <c r="N11" s="13" t="inlineStr">
        <is>
          <t>geocoded (high, structured_address)</t>
        </is>
      </c>
      <c r="O11" s="7" t="inlineStr">
        <is>
          <t>Complete</t>
        </is>
      </c>
      <c r="P11" s="18" t="inlineStr">
        <is>
          <t>Missing</t>
        </is>
      </c>
      <c r="Q11" s="13" t="inlineStr">
        <is>
          <t>Something's Fishy</t>
        </is>
      </c>
    </row>
    <row r="12">
      <c r="A12" s="6" t="inlineStr">
        <is>
          <t>0f54cfae-e204-56cc-adbe-ce3ebbb828fc</t>
        </is>
      </c>
      <c r="B12" s="6" t="inlineStr">
        <is>
          <t>7822bca9-8c50-549d-8a93-a8cee544a19d</t>
        </is>
      </c>
      <c r="C12" s="6" t="inlineStr">
        <is>
          <t>Sugar</t>
        </is>
      </c>
      <c r="D12" s="6" t="inlineStr">
        <is>
          <t>Sugar Rooftop at EAST, Miami</t>
        </is>
      </c>
      <c r="E12" s="6" t="inlineStr">
        <is>
          <t>788 Brickell Plaza, Floor 40, Miami, FL 33131</t>
        </is>
      </c>
      <c r="F12" s="6" t="inlineStr">
        <is>
          <t>Miami</t>
        </is>
      </c>
      <c r="G12" s="6" t="inlineStr">
        <is>
          <t>Brickell</t>
        </is>
      </c>
      <c r="H12" s="8" t="n">
        <v>25.766606</v>
      </c>
      <c r="I12" s="8" t="n">
        <v>-80.1928702</v>
      </c>
      <c r="J12" s="9" t="inlineStr">
        <is>
          <t>View on Map</t>
        </is>
      </c>
      <c r="K12" s="6" t="n"/>
      <c r="L12" s="6" t="n"/>
      <c r="M12" s="7" t="inlineStr">
        <is>
          <t>active</t>
        </is>
      </c>
      <c r="N12" s="6" t="inlineStr">
        <is>
          <t>geocoded (medium, place_name)</t>
        </is>
      </c>
      <c r="O12" s="7" t="inlineStr">
        <is>
          <t>Complete</t>
        </is>
      </c>
      <c r="P12" s="18" t="inlineStr">
        <is>
          <t>Missing</t>
        </is>
      </c>
      <c r="Q12" s="6" t="inlineStr">
        <is>
          <t>Forty Floors Up</t>
        </is>
      </c>
    </row>
    <row r="13">
      <c r="A13" s="13" t="inlineStr">
        <is>
          <t>7460b27b-0e46-5365-8a6e-1a99418dfd4f</t>
        </is>
      </c>
      <c r="B13" s="13" t="inlineStr">
        <is>
          <t>33a05f27-fd32-5bff-9c25-4d95cf230f25</t>
        </is>
      </c>
      <c r="C13" s="13" t="inlineStr">
        <is>
          <t>Tea Room</t>
        </is>
      </c>
      <c r="D13" s="13" t="inlineStr">
        <is>
          <t>Tea Room at EAST, Miami</t>
        </is>
      </c>
      <c r="E13" s="13" t="inlineStr">
        <is>
          <t>788 Brickell Plaza, Miami, FL 33131</t>
        </is>
      </c>
      <c r="F13" s="13" t="inlineStr">
        <is>
          <t>Miami</t>
        </is>
      </c>
      <c r="G13" s="13" t="inlineStr">
        <is>
          <t>Brickell</t>
        </is>
      </c>
      <c r="H13" s="14" t="n">
        <v>25.7666577</v>
      </c>
      <c r="I13" s="14" t="n">
        <v>-80.1927661</v>
      </c>
      <c r="J13" s="15" t="inlineStr">
        <is>
          <t>View on Map</t>
        </is>
      </c>
      <c r="K13" s="13" t="n"/>
      <c r="L13" s="13" t="inlineStr">
        <is>
          <t>Open Thu–Sat</t>
        </is>
      </c>
      <c r="M13" s="7" t="inlineStr">
        <is>
          <t>active</t>
        </is>
      </c>
      <c r="N13" s="13" t="inlineStr">
        <is>
          <t>geocoded (high, structured_address)</t>
        </is>
      </c>
      <c r="O13" s="7" t="inlineStr">
        <is>
          <t>Complete</t>
        </is>
      </c>
      <c r="P13" s="18" t="inlineStr">
        <is>
          <t>Missing</t>
        </is>
      </c>
      <c r="Q13" s="13" t="inlineStr">
        <is>
          <t>High Tea, Literally</t>
        </is>
      </c>
    </row>
    <row r="14">
      <c r="A14" s="6" t="inlineStr">
        <is>
          <t>ce80b621-f3a6-5010-86f2-5e110dd54c14</t>
        </is>
      </c>
      <c r="B14" s="6" t="inlineStr">
        <is>
          <t>63bbc92f-9faa-55d5-b68a-0ac653f0ad1c</t>
        </is>
      </c>
      <c r="C14" s="6" t="inlineStr">
        <is>
          <t>Midorie Miami</t>
        </is>
      </c>
      <c r="D14" s="6" t="inlineStr">
        <is>
          <t>Midorie Miami</t>
        </is>
      </c>
      <c r="E14" s="6" t="inlineStr">
        <is>
          <t>3444 Main Hwy, Miami, FL 33133</t>
        </is>
      </c>
      <c r="F14" s="6" t="inlineStr">
        <is>
          <t>Miami</t>
        </is>
      </c>
      <c r="G14" s="6" t="inlineStr">
        <is>
          <t>Coconut Grove</t>
        </is>
      </c>
      <c r="H14" s="8" t="n">
        <v>25.727493</v>
      </c>
      <c r="I14" s="8" t="n">
        <v>-80.243396</v>
      </c>
      <c r="J14" s="9" t="inlineStr">
        <is>
          <t>View on Map</t>
        </is>
      </c>
      <c r="K14" s="6" t="n"/>
      <c r="L14" s="6" t="n"/>
      <c r="M14" s="7" t="inlineStr">
        <is>
          <t>active</t>
        </is>
      </c>
      <c r="N14" s="6" t="inlineStr">
        <is>
          <t>geocoded (high, structured_address)</t>
        </is>
      </c>
      <c r="O14" s="7" t="inlineStr">
        <is>
          <t>Complete</t>
        </is>
      </c>
      <c r="P14" s="18" t="inlineStr">
        <is>
          <t>Missing</t>
        </is>
      </c>
      <c r="Q14" s="6" t="inlineStr">
        <is>
          <t>Lost in the Grove</t>
        </is>
      </c>
    </row>
    <row r="15">
      <c r="A15" s="13" t="inlineStr">
        <is>
          <t>3d95c2c5-f123-51bf-b4b4-97f6747503f9</t>
        </is>
      </c>
      <c r="B15" s="13" t="inlineStr">
        <is>
          <t>0c3a609b-ca93-5a1f-bc05-cbe8f0ebb0dc</t>
        </is>
      </c>
      <c r="C15" s="13" t="inlineStr">
        <is>
          <t>Regatta Harbour</t>
        </is>
      </c>
      <c r="D15" s="13" t="inlineStr">
        <is>
          <t>Regatta Harbour</t>
        </is>
      </c>
      <c r="E15" s="13" t="inlineStr">
        <is>
          <t>3385 Pan American Dr, Miami, FL 33133</t>
        </is>
      </c>
      <c r="F15" s="13" t="inlineStr">
        <is>
          <t>Miami</t>
        </is>
      </c>
      <c r="G15" s="13" t="inlineStr">
        <is>
          <t>Coconut Grove</t>
        </is>
      </c>
      <c r="H15" s="14" t="n">
        <v>25.7284643</v>
      </c>
      <c r="I15" s="14" t="n">
        <v>-80.2339205</v>
      </c>
      <c r="J15" s="15" t="inlineStr">
        <is>
          <t>View on Map</t>
        </is>
      </c>
      <c r="K15" s="13" t="n"/>
      <c r="L15" s="13" t="n"/>
      <c r="M15" s="7" t="inlineStr">
        <is>
          <t>active</t>
        </is>
      </c>
      <c r="N15" s="13" t="inlineStr">
        <is>
          <t>geocoded (high, structured_address)</t>
        </is>
      </c>
      <c r="O15" s="7" t="inlineStr">
        <is>
          <t>Complete</t>
        </is>
      </c>
      <c r="P15" s="18" t="inlineStr">
        <is>
          <t>Missing</t>
        </is>
      </c>
      <c r="Q15" s="13" t="inlineStr">
        <is>
          <t>Dinner Key Discovery</t>
        </is>
      </c>
    </row>
    <row r="16">
      <c r="A16" s="6" t="inlineStr">
        <is>
          <t>1e79560c-2d8c-581f-9e0a-3b82891975e3</t>
        </is>
      </c>
      <c r="B16" s="6" t="inlineStr">
        <is>
          <t>36c08d29-1d66-5b07-922e-847467d4fa43</t>
        </is>
      </c>
      <c r="C16" s="6" t="inlineStr">
        <is>
          <t>The Kampong</t>
        </is>
      </c>
      <c r="D16" s="6" t="inlineStr">
        <is>
          <t>The Kampong (National Tropical Botanical Garden)</t>
        </is>
      </c>
      <c r="E16" s="6" t="inlineStr">
        <is>
          <t>4013 S Douglas Rd, Miami, FL 33133</t>
        </is>
      </c>
      <c r="F16" s="6" t="inlineStr">
        <is>
          <t>Miami</t>
        </is>
      </c>
      <c r="G16" s="6" t="inlineStr">
        <is>
          <t>Coconut Grove</t>
        </is>
      </c>
      <c r="H16" s="8" t="n">
        <v>25.7152781</v>
      </c>
      <c r="I16" s="8" t="n">
        <v>-80.2503978</v>
      </c>
      <c r="J16" s="9" t="inlineStr">
        <is>
          <t>View on Map</t>
        </is>
      </c>
      <c r="K16" s="6" t="n"/>
      <c r="L16" s="6" t="n"/>
      <c r="M16" s="7" t="inlineStr">
        <is>
          <t>active</t>
        </is>
      </c>
      <c r="N16" s="6" t="inlineStr">
        <is>
          <t>workbook</t>
        </is>
      </c>
      <c r="O16" s="7" t="inlineStr">
        <is>
          <t>Complete</t>
        </is>
      </c>
      <c r="P16" s="18" t="inlineStr">
        <is>
          <t>Missing</t>
        </is>
      </c>
      <c r="Q16" s="6" t="inlineStr">
        <is>
          <t>The Secret Garden of the Grove</t>
        </is>
      </c>
    </row>
    <row r="17">
      <c r="A17" s="13" t="inlineStr">
        <is>
          <t>421f85f6-07e7-5392-8ef6-ded4d17e1021</t>
        </is>
      </c>
      <c r="B17" s="13" t="inlineStr">
        <is>
          <t>617044a3-282a-5211-bf44-49065ab56969</t>
        </is>
      </c>
      <c r="C17" s="13" t="inlineStr">
        <is>
          <t>Bachour</t>
        </is>
      </c>
      <c r="D17" s="13" t="inlineStr">
        <is>
          <t>Bachour Coral Gables</t>
        </is>
      </c>
      <c r="E17" s="13" t="inlineStr">
        <is>
          <t>2020 Salzedo St, Coral Gables, FL 33134</t>
        </is>
      </c>
      <c r="F17" s="13" t="inlineStr">
        <is>
          <t>Coral Gables</t>
        </is>
      </c>
      <c r="G17" s="13" t="inlineStr">
        <is>
          <t>Coral Gables</t>
        </is>
      </c>
      <c r="H17" s="14" t="n">
        <v>25.7538553</v>
      </c>
      <c r="I17" s="14" t="n">
        <v>-80.2611351</v>
      </c>
      <c r="J17" s="15" t="inlineStr">
        <is>
          <t>View on Map</t>
        </is>
      </c>
      <c r="K17" s="13" t="n"/>
      <c r="L17" s="13" t="n"/>
      <c r="M17" s="7" t="inlineStr">
        <is>
          <t>active</t>
        </is>
      </c>
      <c r="N17" s="13" t="inlineStr">
        <is>
          <t>workbook</t>
        </is>
      </c>
      <c r="O17" s="7" t="inlineStr">
        <is>
          <t>Complete</t>
        </is>
      </c>
      <c r="P17" s="18" t="inlineStr">
        <is>
          <t>Missing</t>
        </is>
      </c>
      <c r="Q17" s="13" t="inlineStr">
        <is>
          <t>The Pastry Michelin Knows</t>
        </is>
      </c>
    </row>
    <row r="18">
      <c r="A18" s="6" t="inlineStr">
        <is>
          <t>3a4cc420-5ef9-5972-87f2-0b19eb5bea6b</t>
        </is>
      </c>
      <c r="B18" s="6" t="inlineStr">
        <is>
          <t>410e40e4-eaec-57a2-948f-5a54e18284f0</t>
        </is>
      </c>
      <c r="C18" s="6" t="inlineStr">
        <is>
          <t>Books &amp; Books</t>
        </is>
      </c>
      <c r="D18" s="6" t="inlineStr">
        <is>
          <t>Books &amp; Books - Coral Gables</t>
        </is>
      </c>
      <c r="E18" s="6" t="inlineStr">
        <is>
          <t>265 Aragon Ave, Coral Gables, FL 33134</t>
        </is>
      </c>
      <c r="F18" s="6" t="inlineStr">
        <is>
          <t>Coral Gables</t>
        </is>
      </c>
      <c r="G18" s="6" t="inlineStr">
        <is>
          <t>Coral Gables</t>
        </is>
      </c>
      <c r="H18" s="8" t="n">
        <v>25.7506451</v>
      </c>
      <c r="I18" s="8" t="n">
        <v>-80.2600624</v>
      </c>
      <c r="J18" s="9" t="inlineStr">
        <is>
          <t>View on Map</t>
        </is>
      </c>
      <c r="K18" s="6" t="n"/>
      <c r="L18" s="6" t="n"/>
      <c r="M18" s="7" t="inlineStr">
        <is>
          <t>active</t>
        </is>
      </c>
      <c r="N18" s="6" t="inlineStr">
        <is>
          <t>workbook</t>
        </is>
      </c>
      <c r="O18" s="7" t="inlineStr">
        <is>
          <t>Complete</t>
        </is>
      </c>
      <c r="P18" s="18" t="inlineStr">
        <is>
          <t>Missing</t>
        </is>
      </c>
      <c r="Q18" s="6" t="inlineStr">
        <is>
          <t>Shelf Discovery</t>
        </is>
      </c>
    </row>
    <row r="19">
      <c r="A19" s="13" t="inlineStr">
        <is>
          <t>f676da93-90c5-5a46-9e9d-c07d8d721b17</t>
        </is>
      </c>
      <c r="B19" s="13" t="inlineStr">
        <is>
          <t>111a4bb7-ae6b-574d-b49b-f742f1d7a1b4</t>
        </is>
      </c>
      <c r="C19" s="13" t="inlineStr">
        <is>
          <t>Coral Gables Congregational United Church of Christ</t>
        </is>
      </c>
      <c r="D19" s="13" t="inlineStr">
        <is>
          <t>Coral Gables Congregational United Church of Christ</t>
        </is>
      </c>
      <c r="E19" s="13" t="inlineStr">
        <is>
          <t>3010 De Soto Blvd, Coral Gables, FL 33134</t>
        </is>
      </c>
      <c r="F19" s="13" t="inlineStr">
        <is>
          <t>Coral Gables</t>
        </is>
      </c>
      <c r="G19" s="13" t="inlineStr">
        <is>
          <t>Coral Gables</t>
        </is>
      </c>
      <c r="H19" s="14" t="n">
        <v>25.7428751</v>
      </c>
      <c r="I19" s="14" t="n">
        <v>-80.27848899999999</v>
      </c>
      <c r="J19" s="15" t="inlineStr">
        <is>
          <t>View on Map</t>
        </is>
      </c>
      <c r="K19" s="13" t="n"/>
      <c r="L19" s="13" t="n"/>
      <c r="M19" s="7" t="inlineStr">
        <is>
          <t>active</t>
        </is>
      </c>
      <c r="N19" s="13" t="inlineStr">
        <is>
          <t>geocoded (high, structured_address)</t>
        </is>
      </c>
      <c r="O19" s="7" t="inlineStr">
        <is>
          <t>Complete</t>
        </is>
      </c>
      <c r="P19" s="18" t="inlineStr">
        <is>
          <t>Missing</t>
        </is>
      </c>
      <c r="Q19" s="13" t="inlineStr">
        <is>
          <t>The Landmark Across the Way</t>
        </is>
      </c>
    </row>
    <row r="20">
      <c r="A20" s="6" t="inlineStr">
        <is>
          <t>861e0c2e-4010-584e-bab5-42fc8eea9403</t>
        </is>
      </c>
      <c r="B20" s="6" t="inlineStr">
        <is>
          <t>06b8dc6d-d62d-5853-87de-600cf264d3d2</t>
        </is>
      </c>
      <c r="C20" s="6" t="inlineStr">
        <is>
          <t>Giralda Plaza</t>
        </is>
      </c>
      <c r="D20" s="6" t="inlineStr">
        <is>
          <t>Giralda Plaza</t>
        </is>
      </c>
      <c r="E20" s="6" t="inlineStr">
        <is>
          <t>100 block of Giralda Ave, Coral Gables, FL 33134</t>
        </is>
      </c>
      <c r="F20" s="6" t="inlineStr">
        <is>
          <t>Coral Gables</t>
        </is>
      </c>
      <c r="G20" s="6" t="inlineStr">
        <is>
          <t>Coral Gables</t>
        </is>
      </c>
      <c r="H20" s="8" t="n">
        <v>25.7514867</v>
      </c>
      <c r="I20" s="8" t="n">
        <v>-80.25706340000001</v>
      </c>
      <c r="J20" s="9" t="inlineStr">
        <is>
          <t>View on Map</t>
        </is>
      </c>
      <c r="K20" s="6" t="n"/>
      <c r="L20" s="6" t="n"/>
      <c r="M20" s="7" t="inlineStr">
        <is>
          <t>active</t>
        </is>
      </c>
      <c r="N20" s="6" t="inlineStr">
        <is>
          <t>geocoded (medium, place_name)</t>
        </is>
      </c>
      <c r="O20" s="7" t="inlineStr">
        <is>
          <t>Complete</t>
        </is>
      </c>
      <c r="P20" s="18" t="inlineStr">
        <is>
          <t>Missing</t>
        </is>
      </c>
      <c r="Q20" s="6" t="inlineStr">
        <is>
          <t>The Pedestrian's Feast</t>
        </is>
      </c>
    </row>
    <row r="21">
      <c r="A21" s="13" t="inlineStr">
        <is>
          <t>ff8d6a60-1390-586c-89ed-06b9c7cea515</t>
        </is>
      </c>
      <c r="B21" s="13" t="inlineStr">
        <is>
          <t>a20285f9-cb39-5da1-8882-a597e5158d0c</t>
        </is>
      </c>
      <c r="C21" s="13" t="inlineStr">
        <is>
          <t>Miracle Mile</t>
        </is>
      </c>
      <c r="D21" s="13" t="inlineStr">
        <is>
          <t>Miracle Mile</t>
        </is>
      </c>
      <c r="E21" s="13" t="inlineStr">
        <is>
          <t>Coral Way between SW 37th Ave and SW 42nd Ave, Coral Gables, FL 33134</t>
        </is>
      </c>
      <c r="F21" s="13" t="inlineStr">
        <is>
          <t>Coral Gables</t>
        </is>
      </c>
      <c r="G21" s="13" t="inlineStr">
        <is>
          <t>Coral Gables</t>
        </is>
      </c>
      <c r="H21" s="14" t="n">
        <v>25.749713</v>
      </c>
      <c r="I21" s="14" t="n">
        <v>-80.255427</v>
      </c>
      <c r="J21" s="15" t="inlineStr">
        <is>
          <t>View on Map</t>
        </is>
      </c>
      <c r="K21" s="13" t="n"/>
      <c r="L21" s="13" t="n"/>
      <c r="M21" s="7" t="inlineStr">
        <is>
          <t>active</t>
        </is>
      </c>
      <c r="N21" s="13" t="inlineStr">
        <is>
          <t>geocoded (medium, place_name)</t>
        </is>
      </c>
      <c r="O21" s="7" t="inlineStr">
        <is>
          <t>Complete</t>
        </is>
      </c>
      <c r="P21" s="18" t="inlineStr">
        <is>
          <t>Missing</t>
        </is>
      </c>
      <c r="Q21" s="13" t="inlineStr">
        <is>
          <t>The Half-Mile Miracle</t>
        </is>
      </c>
    </row>
    <row r="22">
      <c r="A22" s="6" t="inlineStr">
        <is>
          <t>4242b29b-7284-5d29-bb03-68ba09909251</t>
        </is>
      </c>
      <c r="B22" s="6" t="inlineStr">
        <is>
          <t>54a6f74c-377f-5032-a65f-022be3d507fd</t>
        </is>
      </c>
      <c r="C22" s="6" t="inlineStr">
        <is>
          <t>Fairchild Tropical Botanic Garden</t>
        </is>
      </c>
      <c r="D22" s="6" t="inlineStr">
        <is>
          <t>Richard H. Simons Rainforest at Fairchild Tropical Botanic Garden</t>
        </is>
      </c>
      <c r="E22" s="6" t="inlineStr">
        <is>
          <t>10901 Old Cutler Rd, Coral Gables, FL 33156</t>
        </is>
      </c>
      <c r="F22" s="6" t="inlineStr">
        <is>
          <t>Coral Gables</t>
        </is>
      </c>
      <c r="G22" s="6" t="inlineStr">
        <is>
          <t>Coral Gables</t>
        </is>
      </c>
      <c r="H22" s="8" t="n">
        <v>25.676931</v>
      </c>
      <c r="I22" s="8" t="n">
        <v>-80.272789</v>
      </c>
      <c r="J22" s="9" t="inlineStr">
        <is>
          <t>View on Map</t>
        </is>
      </c>
      <c r="K22" s="6" t="n"/>
      <c r="L22" s="6" t="n"/>
      <c r="M22" s="7" t="inlineStr">
        <is>
          <t>active</t>
        </is>
      </c>
      <c r="N22" s="6" t="inlineStr">
        <is>
          <t>workbook</t>
        </is>
      </c>
      <c r="O22" s="7" t="inlineStr">
        <is>
          <t>Complete</t>
        </is>
      </c>
      <c r="P22" s="18" t="inlineStr">
        <is>
          <t>Missing</t>
        </is>
      </c>
      <c r="Q22" s="6" t="inlineStr">
        <is>
          <t>Rainforest Within the Garden</t>
        </is>
      </c>
    </row>
    <row r="23">
      <c r="A23" s="13" t="inlineStr">
        <is>
          <t>88f4b8a6-e1c4-5417-97fb-a8511c54319f</t>
        </is>
      </c>
      <c r="B23" s="13" t="inlineStr">
        <is>
          <t>38947068-093a-5074-8308-fb73e9368cb7</t>
        </is>
      </c>
      <c r="C23" s="13" t="inlineStr">
        <is>
          <t>Threefold Cafe</t>
        </is>
      </c>
      <c r="D23" s="13" t="inlineStr">
        <is>
          <t>Threefold Cafe</t>
        </is>
      </c>
      <c r="E23" s="13" t="inlineStr">
        <is>
          <t>141 Giralda Ave, Coral Gables, FL 33134</t>
        </is>
      </c>
      <c r="F23" s="13" t="inlineStr">
        <is>
          <t>Coral Gables</t>
        </is>
      </c>
      <c r="G23" s="13" t="inlineStr">
        <is>
          <t>Coral Gables</t>
        </is>
      </c>
      <c r="H23" s="14" t="n">
        <v>25.7514197</v>
      </c>
      <c r="I23" s="14" t="n">
        <v>-80.257631</v>
      </c>
      <c r="J23" s="15" t="inlineStr">
        <is>
          <t>View on Map</t>
        </is>
      </c>
      <c r="K23" s="13" t="n"/>
      <c r="L23" s="13" t="n"/>
      <c r="M23" s="7" t="inlineStr">
        <is>
          <t>active</t>
        </is>
      </c>
      <c r="N23" s="13" t="inlineStr">
        <is>
          <t>geocoded (high, structured_address)</t>
        </is>
      </c>
      <c r="O23" s="7" t="inlineStr">
        <is>
          <t>Complete</t>
        </is>
      </c>
      <c r="P23" s="18" t="inlineStr">
        <is>
          <t>Missing</t>
        </is>
      </c>
      <c r="Q23" s="13" t="inlineStr">
        <is>
          <t>Down Under on Giralda</t>
        </is>
      </c>
    </row>
    <row r="24">
      <c r="A24" s="6" t="inlineStr">
        <is>
          <t>bc413e35-329b-5329-ad1e-f2a22d5cf2e4</t>
        </is>
      </c>
      <c r="B24" s="6" t="inlineStr">
        <is>
          <t>6c739246-f141-592a-b037-fa7e59f617cc</t>
        </is>
      </c>
      <c r="C24" s="6" t="inlineStr">
        <is>
          <t>El Carajo International Tapas &amp; Wine</t>
        </is>
      </c>
      <c r="D24" s="6" t="inlineStr">
        <is>
          <t>El Carajo</t>
        </is>
      </c>
      <c r="E24" s="6" t="inlineStr">
        <is>
          <t>2465 SW 17th Ave, Miami, FL 33145</t>
        </is>
      </c>
      <c r="F24" s="6" t="inlineStr">
        <is>
          <t>Miami</t>
        </is>
      </c>
      <c r="G24" s="6" t="inlineStr">
        <is>
          <t>Coral Way</t>
        </is>
      </c>
      <c r="H24" s="8" t="n">
        <v>25.7461508</v>
      </c>
      <c r="I24" s="8" t="n">
        <v>-80.221873</v>
      </c>
      <c r="J24" s="9" t="inlineStr">
        <is>
          <t>View on Map</t>
        </is>
      </c>
      <c r="K24" s="6" t="n"/>
      <c r="L24" s="6" t="n"/>
      <c r="M24" s="7" t="inlineStr">
        <is>
          <t>active</t>
        </is>
      </c>
      <c r="N24" s="6" t="inlineStr">
        <is>
          <t>geocoded (high, structured_address)</t>
        </is>
      </c>
      <c r="O24" s="7" t="inlineStr">
        <is>
          <t>Complete</t>
        </is>
      </c>
      <c r="P24" s="18" t="inlineStr">
        <is>
          <t>Missing</t>
        </is>
      </c>
      <c r="Q24" s="6" t="inlineStr">
        <is>
          <t>Fill Up on Tapas</t>
        </is>
      </c>
    </row>
    <row r="25">
      <c r="A25" s="13" t="inlineStr">
        <is>
          <t>4d32f895-875b-538f-b5a7-dd53a7f0fc7f</t>
        </is>
      </c>
      <c r="B25" s="13" t="inlineStr">
        <is>
          <t>ae760d8b-3bca-5a36-bc31-a602bad4b7d4</t>
        </is>
      </c>
      <c r="C25" s="13" t="inlineStr">
        <is>
          <t>Dale Zine</t>
        </is>
      </c>
      <c r="D25" s="13" t="inlineStr">
        <is>
          <t>Dale Zine Shop</t>
        </is>
      </c>
      <c r="E25" s="13" t="inlineStr">
        <is>
          <t>50 NE 40th St, Miami, FL 33137</t>
        </is>
      </c>
      <c r="F25" s="13" t="inlineStr">
        <is>
          <t>Miami</t>
        </is>
      </c>
      <c r="G25" s="13" t="inlineStr">
        <is>
          <t>Design District</t>
        </is>
      </c>
      <c r="H25" s="14" t="n">
        <v>25.8132334</v>
      </c>
      <c r="I25" s="14" t="n">
        <v>-80.19449040000001</v>
      </c>
      <c r="J25" s="15" t="inlineStr">
        <is>
          <t>View on Map</t>
        </is>
      </c>
      <c r="K25" s="13" t="n"/>
      <c r="L25" s="13" t="n"/>
      <c r="M25" s="7" t="inlineStr">
        <is>
          <t>active</t>
        </is>
      </c>
      <c r="N25" s="13" t="inlineStr">
        <is>
          <t>geocoded (high, structured_address)</t>
        </is>
      </c>
      <c r="O25" s="7" t="inlineStr">
        <is>
          <t>Complete</t>
        </is>
      </c>
      <c r="P25" s="18" t="inlineStr">
        <is>
          <t>Missing</t>
        </is>
      </c>
      <c r="Q25" s="13" t="inlineStr">
        <is>
          <t>Small Press, Big Energy</t>
        </is>
      </c>
    </row>
    <row r="26">
      <c r="A26" s="6" t="inlineStr">
        <is>
          <t>defa0c13-d01c-5168-95ff-c256afb9a06b</t>
        </is>
      </c>
      <c r="B26" s="6" t="inlineStr">
        <is>
          <t>df3058d3-c3a4-5322-bdf2-2c5ed6bb64f8</t>
        </is>
      </c>
      <c r="C26" s="6" t="inlineStr">
        <is>
          <t>Institute of Contemporary Art, Miami</t>
        </is>
      </c>
      <c r="D26" s="6" t="inlineStr">
        <is>
          <t>Institute of Contemporary Art, Miami</t>
        </is>
      </c>
      <c r="E26" s="6" t="inlineStr">
        <is>
          <t>61 NE 41st St, Miami, FL 33137</t>
        </is>
      </c>
      <c r="F26" s="6" t="inlineStr">
        <is>
          <t>Miami</t>
        </is>
      </c>
      <c r="G26" s="6" t="inlineStr">
        <is>
          <t>Design District</t>
        </is>
      </c>
      <c r="H26" s="8" t="n">
        <v>25.8143585</v>
      </c>
      <c r="I26" s="8" t="n">
        <v>-80.1942981</v>
      </c>
      <c r="J26" s="9" t="inlineStr">
        <is>
          <t>View on Map</t>
        </is>
      </c>
      <c r="K26" s="6" t="n"/>
      <c r="L26" s="6" t="n"/>
      <c r="M26" s="7" t="inlineStr">
        <is>
          <t>active</t>
        </is>
      </c>
      <c r="N26" s="6" t="inlineStr">
        <is>
          <t>geocoded (high, structured_address)</t>
        </is>
      </c>
      <c r="O26" s="7" t="inlineStr">
        <is>
          <t>Complete</t>
        </is>
      </c>
      <c r="P26" s="18" t="inlineStr">
        <is>
          <t>Missing</t>
        </is>
      </c>
      <c r="Q26" s="6" t="inlineStr">
        <is>
          <t>Free Art, Big Ideas</t>
        </is>
      </c>
    </row>
    <row r="27">
      <c r="A27" s="13" t="inlineStr">
        <is>
          <t>3451f07f-6eb2-559e-871d-14faae13b003</t>
        </is>
      </c>
      <c r="B27" s="13" t="inlineStr">
        <is>
          <t>208abc78-1331-5ded-a5d6-a252c9974594</t>
        </is>
      </c>
      <c r="C27" s="13" t="inlineStr">
        <is>
          <t>Jungle Plaza</t>
        </is>
      </c>
      <c r="D27" s="13" t="inlineStr">
        <is>
          <t>Jungle Plaza</t>
        </is>
      </c>
      <c r="E27" s="13" t="inlineStr">
        <is>
          <t>3801 NE 1st Ave, Miami, FL 33137</t>
        </is>
      </c>
      <c r="F27" s="13" t="inlineStr">
        <is>
          <t>Miami</t>
        </is>
      </c>
      <c r="G27" s="13" t="inlineStr">
        <is>
          <t>Design District</t>
        </is>
      </c>
      <c r="H27" s="14" t="n">
        <v>25.811964</v>
      </c>
      <c r="I27" s="14" t="n">
        <v>-80.193276</v>
      </c>
      <c r="J27" s="15" t="inlineStr">
        <is>
          <t>View on Map</t>
        </is>
      </c>
      <c r="K27" s="13" t="n"/>
      <c r="L27" s="13" t="n"/>
      <c r="M27" s="7" t="inlineStr">
        <is>
          <t>active</t>
        </is>
      </c>
      <c r="N27" s="13" t="inlineStr">
        <is>
          <t>geocoded (high, structured_address)</t>
        </is>
      </c>
      <c r="O27" s="7" t="inlineStr">
        <is>
          <t>Complete</t>
        </is>
      </c>
      <c r="P27" s="18" t="inlineStr">
        <is>
          <t>Missing</t>
        </is>
      </c>
      <c r="Q27" s="13" t="inlineStr">
        <is>
          <t>Through the Portal</t>
        </is>
      </c>
    </row>
    <row r="28">
      <c r="A28" s="6" t="inlineStr">
        <is>
          <t>7a74344f-5262-599b-8922-59a9fc7f8613</t>
        </is>
      </c>
      <c r="B28" s="6" t="inlineStr">
        <is>
          <t>7ccaef07-9288-5d31-8b40-0061bc3ddf10</t>
        </is>
      </c>
      <c r="C28" s="6" t="inlineStr">
        <is>
          <t>Miami Design District</t>
        </is>
      </c>
      <c r="D28" s="6" t="inlineStr">
        <is>
          <t>Miami Design District</t>
        </is>
      </c>
      <c r="E28" s="6" t="inlineStr">
        <is>
          <t>140 NE 39th St, Miami, FL 33137</t>
        </is>
      </c>
      <c r="F28" s="6" t="inlineStr">
        <is>
          <t>Miami</t>
        </is>
      </c>
      <c r="G28" s="6" t="inlineStr">
        <is>
          <t>Design District</t>
        </is>
      </c>
      <c r="H28" s="8" t="n">
        <v>25.8123753</v>
      </c>
      <c r="I28" s="8" t="n">
        <v>-80.19241150000001</v>
      </c>
      <c r="J28" s="9" t="inlineStr">
        <is>
          <t>View on Map</t>
        </is>
      </c>
      <c r="K28" s="6" t="n"/>
      <c r="L28" s="6" t="n"/>
      <c r="M28" s="7" t="inlineStr">
        <is>
          <t>active</t>
        </is>
      </c>
      <c r="N28" s="6" t="inlineStr">
        <is>
          <t>workbook</t>
        </is>
      </c>
      <c r="O28" s="7" t="inlineStr">
        <is>
          <t>Complete</t>
        </is>
      </c>
      <c r="P28" s="18" t="inlineStr">
        <is>
          <t>Missing</t>
        </is>
      </c>
      <c r="Q28" s="6" t="inlineStr">
        <is>
          <t>The Palm Court Puzzle</t>
        </is>
      </c>
    </row>
    <row r="29">
      <c r="A29" s="13" t="inlineStr">
        <is>
          <t>f752f8f9-7f21-5823-acbd-9bc90363535f</t>
        </is>
      </c>
      <c r="B29" s="13" t="inlineStr">
        <is>
          <t>a8368acf-f984-5d35-bd3a-c283875d5706</t>
        </is>
      </c>
      <c r="C29" s="13" t="inlineStr">
        <is>
          <t>Bayside Marketplace</t>
        </is>
      </c>
      <c r="D29" s="13" t="inlineStr">
        <is>
          <t>Bayside Marketplace</t>
        </is>
      </c>
      <c r="E29" s="13" t="inlineStr">
        <is>
          <t>401 Biscayne Blvd, Miami, FL 33132</t>
        </is>
      </c>
      <c r="F29" s="13" t="inlineStr">
        <is>
          <t>Miami</t>
        </is>
      </c>
      <c r="G29" s="13" t="inlineStr">
        <is>
          <t>Downtown Miami</t>
        </is>
      </c>
      <c r="H29" s="14" t="n">
        <v>25.7784792</v>
      </c>
      <c r="I29" s="14" t="n">
        <v>-80.1867682</v>
      </c>
      <c r="J29" s="15" t="inlineStr">
        <is>
          <t>View on Map</t>
        </is>
      </c>
      <c r="K29" s="13" t="n"/>
      <c r="L29" s="13" t="n"/>
      <c r="M29" s="7" t="inlineStr">
        <is>
          <t>active</t>
        </is>
      </c>
      <c r="N29" s="13" t="inlineStr">
        <is>
          <t>workbook</t>
        </is>
      </c>
      <c r="O29" s="7" t="inlineStr">
        <is>
          <t>Complete</t>
        </is>
      </c>
      <c r="P29" s="18" t="inlineStr">
        <is>
          <t>Missing</t>
        </is>
      </c>
      <c r="Q29" s="13" t="inlineStr">
        <is>
          <t>Where Downtown Meets the Bay</t>
        </is>
      </c>
    </row>
    <row r="30">
      <c r="A30" s="6" t="inlineStr">
        <is>
          <t>49e25061-35a8-5ed1-9c65-8238bc62bbf4</t>
        </is>
      </c>
      <c r="B30" s="6" t="inlineStr">
        <is>
          <t>0e518098-b8c2-5a78-af0f-1b4a38cb4d45</t>
        </is>
      </c>
      <c r="C30" s="6" t="inlineStr">
        <is>
          <t>Citizens MiamiCentral</t>
        </is>
      </c>
      <c r="D30" s="6" t="inlineStr">
        <is>
          <t>Citizens MiamiCentral</t>
        </is>
      </c>
      <c r="E30" s="6" t="inlineStr">
        <is>
          <t>600 NW 1st Ave, Miami, FL 33136</t>
        </is>
      </c>
      <c r="F30" s="6" t="inlineStr">
        <is>
          <t>Miami</t>
        </is>
      </c>
      <c r="G30" s="6" t="inlineStr">
        <is>
          <t>Downtown Miami</t>
        </is>
      </c>
      <c r="H30" s="8" t="n">
        <v>25.79118</v>
      </c>
      <c r="I30" s="8" t="n">
        <v>-80.1966257</v>
      </c>
      <c r="J30" s="9" t="inlineStr">
        <is>
          <t>View on Map</t>
        </is>
      </c>
      <c r="K30" s="6" t="n"/>
      <c r="L30" s="6" t="n"/>
      <c r="M30" s="7" t="inlineStr">
        <is>
          <t>active</t>
        </is>
      </c>
      <c r="N30" s="6" t="inlineStr">
        <is>
          <t>geocoded (high, structured_address)</t>
        </is>
      </c>
      <c r="O30" s="7" t="inlineStr">
        <is>
          <t>Complete</t>
        </is>
      </c>
      <c r="P30" s="18" t="inlineStr">
        <is>
          <t>Missing</t>
        </is>
      </c>
      <c r="Q30" s="6" t="inlineStr">
        <is>
          <t>Eat Like a Commuter</t>
        </is>
      </c>
    </row>
    <row r="31">
      <c r="A31" s="13" t="inlineStr">
        <is>
          <t>316c048c-ce1c-53a7-a3d3-59ccaa896e5e</t>
        </is>
      </c>
      <c r="B31" s="13" t="inlineStr">
        <is>
          <t>856c13bf-067d-51ad-b3d0-90a47254fead</t>
        </is>
      </c>
      <c r="C31" s="13" t="inlineStr">
        <is>
          <t>E11EVEN Miami</t>
        </is>
      </c>
      <c r="D31" s="13" t="inlineStr">
        <is>
          <t>E11EVEN Miami</t>
        </is>
      </c>
      <c r="E31" s="13" t="inlineStr">
        <is>
          <t>29 NE 11th St, Miami, FL 33132</t>
        </is>
      </c>
      <c r="F31" s="13" t="inlineStr">
        <is>
          <t>Miami</t>
        </is>
      </c>
      <c r="G31" s="13" t="inlineStr">
        <is>
          <t>Downtown Miami</t>
        </is>
      </c>
      <c r="H31" s="14" t="n">
        <v>25.7849579</v>
      </c>
      <c r="I31" s="14" t="n">
        <v>-80.1935969</v>
      </c>
      <c r="J31" s="15" t="inlineStr">
        <is>
          <t>View on Map</t>
        </is>
      </c>
      <c r="K31" s="13" t="inlineStr">
        <is>
          <t>Open 24 hours</t>
        </is>
      </c>
      <c r="L31" s="13" t="inlineStr">
        <is>
          <t>21+ only</t>
        </is>
      </c>
      <c r="M31" s="7" t="inlineStr">
        <is>
          <t>active</t>
        </is>
      </c>
      <c r="N31" s="13" t="inlineStr">
        <is>
          <t>workbook</t>
        </is>
      </c>
      <c r="O31" s="7" t="inlineStr">
        <is>
          <t>Complete</t>
        </is>
      </c>
      <c r="P31" s="7" t="inlineStr">
        <is>
          <t>Present</t>
        </is>
      </c>
      <c r="Q31" s="13" t="inlineStr">
        <is>
          <t>The Club That Never Sleeps</t>
        </is>
      </c>
    </row>
    <row r="32">
      <c r="A32" s="6" t="inlineStr">
        <is>
          <t>1f2ec53a-2e1b-58cd-b2aa-1cd178687999</t>
        </is>
      </c>
      <c r="B32" s="6" t="inlineStr">
        <is>
          <t>a116f926-5af7-523b-a23c-7b0131e64f83</t>
        </is>
      </c>
      <c r="C32" s="6" t="inlineStr">
        <is>
          <t>Government Center Station</t>
        </is>
      </c>
      <c r="D32" s="6" t="inlineStr">
        <is>
          <t>Government Center Station</t>
        </is>
      </c>
      <c r="E32" s="6" t="inlineStr">
        <is>
          <t>101 NW 1st St, Miami, FL 33128</t>
        </is>
      </c>
      <c r="F32" s="6" t="inlineStr">
        <is>
          <t>Miami</t>
        </is>
      </c>
      <c r="G32" s="6" t="inlineStr">
        <is>
          <t>Downtown Miami</t>
        </is>
      </c>
      <c r="H32" s="8" t="n">
        <v>25.7757584</v>
      </c>
      <c r="I32" s="8" t="n">
        <v>-80.1960776</v>
      </c>
      <c r="J32" s="9" t="inlineStr">
        <is>
          <t>View on Map</t>
        </is>
      </c>
      <c r="K32" s="6" t="n"/>
      <c r="L32" s="6" t="n"/>
      <c r="M32" s="7" t="inlineStr">
        <is>
          <t>active</t>
        </is>
      </c>
      <c r="N32" s="6" t="inlineStr">
        <is>
          <t>geocoded (high, structured_address)</t>
        </is>
      </c>
      <c r="O32" s="7" t="inlineStr">
        <is>
          <t>Complete</t>
        </is>
      </c>
      <c r="P32" s="18" t="inlineStr">
        <is>
          <t>Missing</t>
        </is>
      </c>
      <c r="Q32" s="6" t="inlineStr">
        <is>
          <t>The Crossroads</t>
        </is>
      </c>
    </row>
    <row r="33">
      <c r="A33" s="13" t="inlineStr">
        <is>
          <t>6d4f6842-8525-5831-92de-fdb4727ed574</t>
        </is>
      </c>
      <c r="B33" s="13" t="inlineStr">
        <is>
          <t>5e937cc3-c9da-52d6-9aa4-833b48cd20be</t>
        </is>
      </c>
      <c r="C33" s="13" t="inlineStr">
        <is>
          <t>Kaseya Center (AT&amp;T East Plaza)</t>
        </is>
      </c>
      <c r="D33" s="13" t="inlineStr">
        <is>
          <t>Kaseya Center</t>
        </is>
      </c>
      <c r="E33" s="13" t="inlineStr">
        <is>
          <t>601 Biscayne Blvd, Miami, FL 33132</t>
        </is>
      </c>
      <c r="F33" s="13" t="inlineStr">
        <is>
          <t>Miami</t>
        </is>
      </c>
      <c r="G33" s="13" t="inlineStr">
        <is>
          <t>Downtown Miami</t>
        </is>
      </c>
      <c r="H33" s="14" t="n">
        <v>25.7813595</v>
      </c>
      <c r="I33" s="14" t="n">
        <v>-80.1879435</v>
      </c>
      <c r="J33" s="15" t="inlineStr">
        <is>
          <t>View on Map</t>
        </is>
      </c>
      <c r="K33" s="13" t="n"/>
      <c r="L33" s="13" t="n"/>
      <c r="M33" s="7" t="inlineStr">
        <is>
          <t>active</t>
        </is>
      </c>
      <c r="N33" s="13" t="inlineStr">
        <is>
          <t>geocoded (high, structured_address)</t>
        </is>
      </c>
      <c r="O33" s="7" t="inlineStr">
        <is>
          <t>Complete</t>
        </is>
      </c>
      <c r="P33" s="18" t="inlineStr">
        <is>
          <t>Missing</t>
        </is>
      </c>
      <c r="Q33" s="13" t="inlineStr">
        <is>
          <t>Home Court</t>
        </is>
      </c>
    </row>
    <row r="34">
      <c r="A34" s="6" t="inlineStr">
        <is>
          <t>d858150a-df59-589b-a51b-a8910c61237d</t>
        </is>
      </c>
      <c r="B34" s="6" t="inlineStr">
        <is>
          <t>7b017967-7fa7-5e64-b5b4-74f32f680a17</t>
        </is>
      </c>
      <c r="C34" s="6" t="inlineStr">
        <is>
          <t>Lost Boy &amp; Co.</t>
        </is>
      </c>
      <c r="D34" s="6" t="inlineStr">
        <is>
          <t>Lost Boy Dry Goods</t>
        </is>
      </c>
      <c r="E34" s="6" t="inlineStr">
        <is>
          <t>157 E Flagler St, Miami, FL 33131</t>
        </is>
      </c>
      <c r="F34" s="6" t="inlineStr">
        <is>
          <t>Miami</t>
        </is>
      </c>
      <c r="G34" s="6" t="inlineStr">
        <is>
          <t>Downtown Miami</t>
        </is>
      </c>
      <c r="H34" s="8" t="n">
        <v>25.7743673</v>
      </c>
      <c r="I34" s="8" t="n">
        <v>-80.1907341</v>
      </c>
      <c r="J34" s="9" t="inlineStr">
        <is>
          <t>View on Map</t>
        </is>
      </c>
      <c r="K34" s="6" t="n"/>
      <c r="L34" s="6" t="n"/>
      <c r="M34" s="7" t="inlineStr">
        <is>
          <t>active</t>
        </is>
      </c>
      <c r="N34" s="6" t="inlineStr">
        <is>
          <t>workbook</t>
        </is>
      </c>
      <c r="O34" s="7" t="inlineStr">
        <is>
          <t>Complete</t>
        </is>
      </c>
      <c r="P34" s="18" t="inlineStr">
        <is>
          <t>Missing</t>
        </is>
      </c>
      <c r="Q34" s="6" t="inlineStr">
        <is>
          <t>Get Lost Downtown</t>
        </is>
      </c>
    </row>
    <row r="35">
      <c r="A35" s="13" t="inlineStr">
        <is>
          <t>71b22ea1-5f61-5b45-aade-19e00c48e84f</t>
        </is>
      </c>
      <c r="B35" s="13" t="inlineStr">
        <is>
          <t>a0e58b54-b8ed-5125-a4e8-387091622757</t>
        </is>
      </c>
      <c r="C35" s="13" t="inlineStr">
        <is>
          <t>Over Under</t>
        </is>
      </c>
      <c r="D35" s="13" t="inlineStr">
        <is>
          <t>Over Under</t>
        </is>
      </c>
      <c r="E35" s="13" t="inlineStr">
        <is>
          <t>151 E Flagler St, Miami, FL 33131</t>
        </is>
      </c>
      <c r="F35" s="13" t="inlineStr">
        <is>
          <t>Miami</t>
        </is>
      </c>
      <c r="G35" s="13" t="inlineStr">
        <is>
          <t>Downtown Miami</t>
        </is>
      </c>
      <c r="H35" s="14" t="n">
        <v>25.774428</v>
      </c>
      <c r="I35" s="14" t="n">
        <v>-80.19088499999999</v>
      </c>
      <c r="J35" s="15" t="inlineStr">
        <is>
          <t>View on Map</t>
        </is>
      </c>
      <c r="K35" s="13" t="n"/>
      <c r="L35" s="13" t="n"/>
      <c r="M35" s="7" t="inlineStr">
        <is>
          <t>active</t>
        </is>
      </c>
      <c r="N35" s="13" t="inlineStr">
        <is>
          <t>workbook</t>
        </is>
      </c>
      <c r="O35" s="7" t="inlineStr">
        <is>
          <t>Complete</t>
        </is>
      </c>
      <c r="P35" s="18" t="inlineStr">
        <is>
          <t>Missing</t>
        </is>
      </c>
      <c r="Q35" s="13" t="inlineStr">
        <is>
          <t>Flagler Street Revival</t>
        </is>
      </c>
    </row>
    <row r="36">
      <c r="A36" s="6" t="inlineStr">
        <is>
          <t>be92a4e5-2635-5364-8ada-a5e99d0fdd0a</t>
        </is>
      </c>
      <c r="B36" s="6" t="inlineStr">
        <is>
          <t>499e378f-6144-5a1a-878d-b9c8193b3544</t>
        </is>
      </c>
      <c r="C36" s="6" t="inlineStr">
        <is>
          <t>Pérez Art Museum Miami</t>
        </is>
      </c>
      <c r="D36" s="6" t="inlineStr">
        <is>
          <t>Pérez Art Museum Miami</t>
        </is>
      </c>
      <c r="E36" s="6" t="inlineStr">
        <is>
          <t>1103 Biscayne Blvd, Miami, FL 33132</t>
        </is>
      </c>
      <c r="F36" s="6" t="inlineStr">
        <is>
          <t>Miami</t>
        </is>
      </c>
      <c r="G36" s="6" t="inlineStr">
        <is>
          <t>Downtown Miami</t>
        </is>
      </c>
      <c r="H36" s="8" t="n">
        <v>25.7859809</v>
      </c>
      <c r="I36" s="8" t="n">
        <v>-80.18626930000001</v>
      </c>
      <c r="J36" s="9" t="inlineStr">
        <is>
          <t>View on Map</t>
        </is>
      </c>
      <c r="K36" s="6" t="n"/>
      <c r="L36" s="6" t="n"/>
      <c r="M36" s="7" t="inlineStr">
        <is>
          <t>active</t>
        </is>
      </c>
      <c r="N36" s="6" t="inlineStr">
        <is>
          <t>workbook</t>
        </is>
      </c>
      <c r="O36" s="7" t="inlineStr">
        <is>
          <t>Complete</t>
        </is>
      </c>
      <c r="P36" s="18" t="inlineStr">
        <is>
          <t>Missing</t>
        </is>
      </c>
      <c r="Q36" s="6" t="inlineStr">
        <is>
          <t>Art on the Bay</t>
        </is>
      </c>
    </row>
    <row r="37">
      <c r="A37" s="13" t="inlineStr">
        <is>
          <t>4f8b3159-5218-59b2-b342-11bc9abc7359</t>
        </is>
      </c>
      <c r="B37" s="13" t="inlineStr">
        <is>
          <t>a2bdfb29-2728-54f6-8142-de371f679c40</t>
        </is>
      </c>
      <c r="C37" s="13" t="inlineStr">
        <is>
          <t>Maurice A. Ferré Park</t>
        </is>
      </c>
      <c r="D37" s="13" t="inlineStr">
        <is>
          <t>Maurice A. Ferré Park</t>
        </is>
      </c>
      <c r="E37" s="13" t="inlineStr">
        <is>
          <t>1075 Biscayne Blvd, Miami, FL 33132</t>
        </is>
      </c>
      <c r="F37" s="13" t="inlineStr">
        <is>
          <t>Miami</t>
        </is>
      </c>
      <c r="G37" s="13" t="inlineStr">
        <is>
          <t>Downtown Miami / Arts &amp; Entertainment District</t>
        </is>
      </c>
      <c r="H37" s="14" t="n">
        <v>25.7839</v>
      </c>
      <c r="I37" s="14" t="n">
        <v>-80.18689999999999</v>
      </c>
      <c r="J37" s="15" t="inlineStr">
        <is>
          <t>View on Map</t>
        </is>
      </c>
      <c r="K37" s="13" t="n"/>
      <c r="L37" s="13" t="n"/>
      <c r="M37" s="7" t="inlineStr">
        <is>
          <t>active</t>
        </is>
      </c>
      <c r="N37" s="13" t="inlineStr">
        <is>
          <t>workbook</t>
        </is>
      </c>
      <c r="O37" s="7" t="inlineStr">
        <is>
          <t>Complete</t>
        </is>
      </c>
      <c r="P37" s="18" t="inlineStr">
        <is>
          <t>Missing</t>
        </is>
      </c>
      <c r="Q37" s="13" t="inlineStr">
        <is>
          <t>The Museum's Front Yard</t>
        </is>
      </c>
    </row>
    <row r="38">
      <c r="A38" s="6" t="inlineStr">
        <is>
          <t>89561c5f-7ce2-5d91-8999-50cc258c7d08</t>
        </is>
      </c>
      <c r="B38" s="6" t="inlineStr">
        <is>
          <t>042a4a79-469b-55b5-b06a-ec5d012aa167</t>
        </is>
      </c>
      <c r="C38" s="6" t="inlineStr">
        <is>
          <t>The Corner</t>
        </is>
      </c>
      <c r="D38" s="6" t="inlineStr">
        <is>
          <t>The Corner</t>
        </is>
      </c>
      <c r="E38" s="6" t="inlineStr">
        <is>
          <t>1035 N Miami Ave #101, Miami, FL 33136</t>
        </is>
      </c>
      <c r="F38" s="6" t="inlineStr">
        <is>
          <t>Miami</t>
        </is>
      </c>
      <c r="G38" s="6" t="inlineStr">
        <is>
          <t>Downtown Miami / Park West</t>
        </is>
      </c>
      <c r="H38" s="8" t="n">
        <v>25.784656</v>
      </c>
      <c r="I38" s="8" t="n">
        <v>-80.19389700000001</v>
      </c>
      <c r="J38" s="9" t="inlineStr">
        <is>
          <t>View on Map</t>
        </is>
      </c>
      <c r="K38" s="6" t="n"/>
      <c r="L38" s="6" t="n"/>
      <c r="M38" s="7" t="inlineStr">
        <is>
          <t>active</t>
        </is>
      </c>
      <c r="N38" s="6" t="inlineStr">
        <is>
          <t>geocoded (medium, place_name)</t>
        </is>
      </c>
      <c r="O38" s="7" t="inlineStr">
        <is>
          <t>Complete</t>
        </is>
      </c>
      <c r="P38" s="18" t="inlineStr">
        <is>
          <t>Missing</t>
        </is>
      </c>
      <c r="Q38" s="6" t="inlineStr">
        <is>
          <t>Meet Me at The Corner</t>
        </is>
      </c>
    </row>
    <row r="39">
      <c r="A39" s="13" t="inlineStr">
        <is>
          <t>4a76b5e7-7fc8-5485-90c4-403a796770c7</t>
        </is>
      </c>
      <c r="B39" s="13" t="inlineStr">
        <is>
          <t>17fd3975-dc00-523d-be6e-6eee84d5714d</t>
        </is>
      </c>
      <c r="C39" s="13" t="inlineStr">
        <is>
          <t>Vice City Bean</t>
        </is>
      </c>
      <c r="D39" s="13" t="inlineStr">
        <is>
          <t>Vice City Bean</t>
        </is>
      </c>
      <c r="E39" s="13" t="inlineStr">
        <is>
          <t>1657 N Miami Ave, Unit C, Miami, FL 33136</t>
        </is>
      </c>
      <c r="F39" s="13" t="inlineStr">
        <is>
          <t>Miami</t>
        </is>
      </c>
      <c r="G39" s="13" t="inlineStr">
        <is>
          <t>Edgewater</t>
        </is>
      </c>
      <c r="H39" s="14" t="n">
        <v>25.791406</v>
      </c>
      <c r="I39" s="14" t="n">
        <v>-80.19430199999999</v>
      </c>
      <c r="J39" s="15" t="inlineStr">
        <is>
          <t>View on Map</t>
        </is>
      </c>
      <c r="K39" s="13" t="n"/>
      <c r="L39" s="13" t="n"/>
      <c r="M39" s="7" t="inlineStr">
        <is>
          <t>active</t>
        </is>
      </c>
      <c r="N39" s="13" t="inlineStr">
        <is>
          <t>workbook</t>
        </is>
      </c>
      <c r="O39" s="7" t="inlineStr">
        <is>
          <t>Complete</t>
        </is>
      </c>
      <c r="P39" s="18" t="inlineStr">
        <is>
          <t>Missing</t>
        </is>
      </c>
      <c r="Q39" s="13" t="inlineStr">
        <is>
          <t>Flagship of Vice City</t>
        </is>
      </c>
    </row>
    <row r="40">
      <c r="A40" s="6" t="inlineStr">
        <is>
          <t>86ec6766-9a9e-50b5-b1d5-0b40d0be79f8</t>
        </is>
      </c>
      <c r="B40" s="6" t="inlineStr">
        <is>
          <t>d25ce94f-cf6b-5252-af8c-6e8e5526f06a</t>
        </is>
      </c>
      <c r="C40" s="6" t="inlineStr">
        <is>
          <t>Naomi's Garden Restaurant &amp; Lounge</t>
        </is>
      </c>
      <c r="D40" s="6" t="inlineStr">
        <is>
          <t>Naomi's Garden Restaurant &amp; Lounge</t>
        </is>
      </c>
      <c r="E40" s="6" t="inlineStr">
        <is>
          <t>650 NW 71st St, Miami, FL 33150</t>
        </is>
      </c>
      <c r="F40" s="6" t="inlineStr">
        <is>
          <t>Miami</t>
        </is>
      </c>
      <c r="G40" s="6" t="inlineStr">
        <is>
          <t>Little Haiti</t>
        </is>
      </c>
      <c r="H40" s="8" t="n">
        <v>25.8395301</v>
      </c>
      <c r="I40" s="8" t="n">
        <v>-80.2079248</v>
      </c>
      <c r="J40" s="9" t="inlineStr">
        <is>
          <t>View on Map</t>
        </is>
      </c>
      <c r="K40" s="6" t="n"/>
      <c r="L40" s="6" t="n"/>
      <c r="M40" s="7" t="inlineStr">
        <is>
          <t>active</t>
        </is>
      </c>
      <c r="N40" s="6" t="inlineStr">
        <is>
          <t>geocoded (high, structured_address)</t>
        </is>
      </c>
      <c r="O40" s="7" t="inlineStr">
        <is>
          <t>Complete</t>
        </is>
      </c>
      <c r="P40" s="18" t="inlineStr">
        <is>
          <t>Missing</t>
        </is>
      </c>
      <c r="Q40" s="6" t="inlineStr">
        <is>
          <t>The Garden of Little Haiti</t>
        </is>
      </c>
    </row>
    <row r="41">
      <c r="A41" s="13" t="inlineStr">
        <is>
          <t>8b802b8f-454c-59e7-8397-8e52b8028121</t>
        </is>
      </c>
      <c r="B41" s="13" t="inlineStr">
        <is>
          <t>8b5e8dfd-4d3a-5e78-b0db-a018c6ba2068</t>
        </is>
      </c>
      <c r="C41" s="13" t="inlineStr">
        <is>
          <t>Sweat Records</t>
        </is>
      </c>
      <c r="D41" s="13" t="inlineStr">
        <is>
          <t>Sweat Records</t>
        </is>
      </c>
      <c r="E41" s="13" t="inlineStr">
        <is>
          <t>5505 NE 2nd Ave, Miami, FL 33137</t>
        </is>
      </c>
      <c r="F41" s="13" t="inlineStr">
        <is>
          <t>Miami</t>
        </is>
      </c>
      <c r="G41" s="13" t="inlineStr">
        <is>
          <t>Little Haiti / Little River</t>
        </is>
      </c>
      <c r="H41" s="14" t="n">
        <v>25.8263434</v>
      </c>
      <c r="I41" s="14" t="n">
        <v>-80.1917894</v>
      </c>
      <c r="J41" s="15" t="inlineStr">
        <is>
          <t>View on Map</t>
        </is>
      </c>
      <c r="K41" s="13" t="n"/>
      <c r="L41" s="13" t="n"/>
      <c r="M41" s="7" t="inlineStr">
        <is>
          <t>active</t>
        </is>
      </c>
      <c r="N41" s="13" t="inlineStr">
        <is>
          <t>workbook</t>
        </is>
      </c>
      <c r="O41" s="7" t="inlineStr">
        <is>
          <t>Complete</t>
        </is>
      </c>
      <c r="P41" s="18" t="inlineStr">
        <is>
          <t>Missing</t>
        </is>
      </c>
      <c r="Q41" s="13" t="inlineStr">
        <is>
          <t>Crate Digger</t>
        </is>
      </c>
    </row>
    <row r="42">
      <c r="A42" s="6" t="inlineStr">
        <is>
          <t>e2f43f10-1882-5b1c-a43a-453ba03fcdc7</t>
        </is>
      </c>
      <c r="B42" s="6" t="inlineStr">
        <is>
          <t>d7487d41-d93b-5ef5-ba8a-381866d6b5a0</t>
        </is>
      </c>
      <c r="C42" s="6" t="inlineStr">
        <is>
          <t>Ball &amp; Chain</t>
        </is>
      </c>
      <c r="D42" s="6" t="inlineStr">
        <is>
          <t>Ball &amp; Chain</t>
        </is>
      </c>
      <c r="E42" s="6" t="inlineStr">
        <is>
          <t>1513 SW 8th St, Miami, FL 33135</t>
        </is>
      </c>
      <c r="F42" s="6" t="inlineStr">
        <is>
          <t>Miami</t>
        </is>
      </c>
      <c r="G42" s="6" t="inlineStr">
        <is>
          <t>Little Havana</t>
        </is>
      </c>
      <c r="H42" s="8" t="n">
        <v>25.7658068</v>
      </c>
      <c r="I42" s="8" t="n">
        <v>-80.2197761</v>
      </c>
      <c r="J42" s="9" t="inlineStr">
        <is>
          <t>View on Map</t>
        </is>
      </c>
      <c r="K42" s="6" t="n"/>
      <c r="L42" s="6" t="n"/>
      <c r="M42" s="7" t="inlineStr">
        <is>
          <t>active</t>
        </is>
      </c>
      <c r="N42" s="6" t="inlineStr">
        <is>
          <t>workbook</t>
        </is>
      </c>
      <c r="O42" s="7" t="inlineStr">
        <is>
          <t>Complete</t>
        </is>
      </c>
      <c r="P42" s="18" t="inlineStr">
        <is>
          <t>Missing</t>
        </is>
      </c>
      <c r="Q42" s="6" t="inlineStr">
        <is>
          <t>Calle Ocho After Dark</t>
        </is>
      </c>
    </row>
    <row r="43">
      <c r="A43" s="13" t="inlineStr">
        <is>
          <t>628b1edc-8119-5196-9d22-4465d7b944c6</t>
        </is>
      </c>
      <c r="B43" s="13" t="inlineStr">
        <is>
          <t>f1b3973c-4035-58cb-a3b2-6a1326842801</t>
        </is>
      </c>
      <c r="C43" s="13" t="inlineStr">
        <is>
          <t>Imperial Moto</t>
        </is>
      </c>
      <c r="D43" s="13" t="inlineStr">
        <is>
          <t>Imperial Moto Cafe - Little River</t>
        </is>
      </c>
      <c r="E43" s="13" t="inlineStr">
        <is>
          <t>7299 NW 2nd Ave, Miami, FL 33150</t>
        </is>
      </c>
      <c r="F43" s="13" t="inlineStr">
        <is>
          <t>Miami</t>
        </is>
      </c>
      <c r="G43" s="13" t="inlineStr">
        <is>
          <t>Little River</t>
        </is>
      </c>
      <c r="H43" s="14" t="n">
        <v>25.8421983</v>
      </c>
      <c r="I43" s="14" t="n">
        <v>-80.2005557</v>
      </c>
      <c r="J43" s="15" t="inlineStr">
        <is>
          <t>View on Map</t>
        </is>
      </c>
      <c r="K43" s="13" t="n"/>
      <c r="L43" s="13" t="n"/>
      <c r="M43" s="7" t="inlineStr">
        <is>
          <t>active</t>
        </is>
      </c>
      <c r="N43" s="13" t="inlineStr">
        <is>
          <t>geocoded (high, structured_address)</t>
        </is>
      </c>
      <c r="O43" s="7" t="inlineStr">
        <is>
          <t>Complete</t>
        </is>
      </c>
      <c r="P43" s="18" t="inlineStr">
        <is>
          <t>Missing</t>
        </is>
      </c>
      <c r="Q43" s="13" t="inlineStr">
        <is>
          <t>Full Throttle Coffee</t>
        </is>
      </c>
    </row>
    <row r="44">
      <c r="A44" s="6" t="inlineStr">
        <is>
          <t>fcefd477-6443-56d6-b6d4-4289c667c4cd</t>
        </is>
      </c>
      <c r="B44" s="6" t="inlineStr">
        <is>
          <t>eae8f3ad-d463-5c4a-95a1-4bdb0aca1474</t>
        </is>
      </c>
      <c r="C44" s="6" t="inlineStr">
        <is>
          <t>Plant the Future</t>
        </is>
      </c>
      <c r="D44" s="6" t="inlineStr">
        <is>
          <t>Plant the Future</t>
        </is>
      </c>
      <c r="E44" s="6" t="inlineStr">
        <is>
          <t>8484 NE 2nd Ave, Miami, FL 33138</t>
        </is>
      </c>
      <c r="F44" s="6" t="inlineStr">
        <is>
          <t>Miami</t>
        </is>
      </c>
      <c r="G44" s="6" t="inlineStr">
        <is>
          <t>Little River</t>
        </is>
      </c>
      <c r="H44" s="8" t="n">
        <v>25.8531665</v>
      </c>
      <c r="I44" s="8" t="n">
        <v>-80.1933545</v>
      </c>
      <c r="J44" s="9" t="inlineStr">
        <is>
          <t>View on Map</t>
        </is>
      </c>
      <c r="K44" s="6" t="n"/>
      <c r="L44" s="6" t="n"/>
      <c r="M44" s="7" t="inlineStr">
        <is>
          <t>active</t>
        </is>
      </c>
      <c r="N44" s="6" t="inlineStr">
        <is>
          <t>geocoded (high, structured_address)</t>
        </is>
      </c>
      <c r="O44" s="7" t="inlineStr">
        <is>
          <t>Complete</t>
        </is>
      </c>
      <c r="P44" s="18" t="inlineStr">
        <is>
          <t>Missing</t>
        </is>
      </c>
      <c r="Q44" s="6" t="inlineStr">
        <is>
          <t>The Gas Station That Grew</t>
        </is>
      </c>
    </row>
    <row r="45">
      <c r="A45" s="13" t="inlineStr">
        <is>
          <t>11b2fa14-eb93-5809-b4ef-73be47f08d91</t>
        </is>
      </c>
      <c r="B45" s="13" t="inlineStr">
        <is>
          <t>ab1faa46-f085-5e74-96b1-13091b98a1e6</t>
        </is>
      </c>
      <c r="C45" s="13" t="inlineStr">
        <is>
          <t>Lagniappe House</t>
        </is>
      </c>
      <c r="D45" s="13" t="inlineStr">
        <is>
          <t>Lagniappe</t>
        </is>
      </c>
      <c r="E45" s="13" t="inlineStr">
        <is>
          <t>3425 NE 2nd Ave, Miami, FL 33137</t>
        </is>
      </c>
      <c r="F45" s="13" t="inlineStr">
        <is>
          <t>Miami</t>
        </is>
      </c>
      <c r="G45" s="13" t="inlineStr">
        <is>
          <t>Midtown / Wynwood-Edgewater</t>
        </is>
      </c>
      <c r="H45" s="14" t="n">
        <v>25.8090466</v>
      </c>
      <c r="I45" s="14" t="n">
        <v>-80.19100539999999</v>
      </c>
      <c r="J45" s="15" t="inlineStr">
        <is>
          <t>View on Map</t>
        </is>
      </c>
      <c r="K45" s="13" t="n"/>
      <c r="L45" s="13" t="n"/>
      <c r="M45" s="7" t="inlineStr">
        <is>
          <t>active</t>
        </is>
      </c>
      <c r="N45" s="13" t="inlineStr">
        <is>
          <t>geocoded (high, structured_address)</t>
        </is>
      </c>
      <c r="O45" s="7" t="inlineStr">
        <is>
          <t>Complete</t>
        </is>
      </c>
      <c r="P45" s="18" t="inlineStr">
        <is>
          <t>Missing</t>
        </is>
      </c>
      <c r="Q45" s="13" t="inlineStr">
        <is>
          <t>A Little Something Extra</t>
        </is>
      </c>
    </row>
    <row r="46">
      <c r="A46" s="6" t="inlineStr">
        <is>
          <t>6cb7bcbb-c52f-5dd0-bc00-580e92d8f786</t>
        </is>
      </c>
      <c r="B46" s="6" t="inlineStr">
        <is>
          <t>636d6c24-dd1c-57b7-9b79-94481e239b2b</t>
        </is>
      </c>
      <c r="C46" s="6" t="inlineStr">
        <is>
          <t>Miami Worldcenter</t>
        </is>
      </c>
      <c r="D46" s="6" t="inlineStr">
        <is>
          <t>Miami Worldcenter</t>
        </is>
      </c>
      <c r="E46" s="6" t="inlineStr">
        <is>
          <t>851 NE 1st Ave, Miami, FL 33132</t>
        </is>
      </c>
      <c r="F46" s="6" t="inlineStr">
        <is>
          <t>Miami</t>
        </is>
      </c>
      <c r="G46" s="6" t="inlineStr">
        <is>
          <t>Park West / Downtown Miami</t>
        </is>
      </c>
      <c r="H46" s="8" t="n">
        <v>25.782431</v>
      </c>
      <c r="I46" s="8" t="n">
        <v>-80.19185400000001</v>
      </c>
      <c r="J46" s="9" t="inlineStr">
        <is>
          <t>View on Map</t>
        </is>
      </c>
      <c r="K46" s="6" t="n"/>
      <c r="L46" s="6" t="n"/>
      <c r="M46" s="7" t="inlineStr">
        <is>
          <t>active</t>
        </is>
      </c>
      <c r="N46" s="6" t="inlineStr">
        <is>
          <t>workbook</t>
        </is>
      </c>
      <c r="O46" s="7" t="inlineStr">
        <is>
          <t>Complete</t>
        </is>
      </c>
      <c r="P46" s="18" t="inlineStr">
        <is>
          <t>Missing</t>
        </is>
      </c>
      <c r="Q46" s="6" t="inlineStr">
        <is>
          <t>City Under Construction</t>
        </is>
      </c>
    </row>
    <row r="47">
      <c r="A47" s="13" t="inlineStr">
        <is>
          <t>3d6e479e-6ef9-5cfd-bbc8-021de95e8ff5</t>
        </is>
      </c>
      <c r="B47" s="13" t="inlineStr">
        <is>
          <t>2f64ad78-af59-54c1-897e-9ae076b0fbeb</t>
        </is>
      </c>
      <c r="C47" s="13" t="inlineStr">
        <is>
          <t>Brewing Buddha Cafe &amp; Arthouse</t>
        </is>
      </c>
      <c r="D47" s="13" t="inlineStr">
        <is>
          <t>Brewing Buddha Cafe &amp; Arthouse</t>
        </is>
      </c>
      <c r="E47" s="13" t="inlineStr">
        <is>
          <t>8219 SW 124th St, Pinecrest, FL 33156</t>
        </is>
      </c>
      <c r="F47" s="13" t="inlineStr">
        <is>
          <t>Pinecrest</t>
        </is>
      </c>
      <c r="G47" s="13" t="inlineStr">
        <is>
          <t>Pinecrest</t>
        </is>
      </c>
      <c r="H47" s="14" t="n">
        <v>25.6554818</v>
      </c>
      <c r="I47" s="14" t="n">
        <v>-80.3268453</v>
      </c>
      <c r="J47" s="15" t="inlineStr">
        <is>
          <t>View on Map</t>
        </is>
      </c>
      <c r="K47" s="13" t="n"/>
      <c r="L47" s="13" t="n"/>
      <c r="M47" s="7" t="inlineStr">
        <is>
          <t>active</t>
        </is>
      </c>
      <c r="N47" s="13" t="inlineStr">
        <is>
          <t>geocoded (high, structured_address)</t>
        </is>
      </c>
      <c r="O47" s="7" t="inlineStr">
        <is>
          <t>Complete</t>
        </is>
      </c>
      <c r="P47" s="18" t="inlineStr">
        <is>
          <t>Missing</t>
        </is>
      </c>
      <c r="Q47" s="13" t="inlineStr">
        <is>
          <t>The Buddha's Gallery</t>
        </is>
      </c>
    </row>
    <row r="48">
      <c r="A48" s="6" t="inlineStr">
        <is>
          <t>54bb0aa7-790f-58ab-bd49-d78682d5f3ab</t>
        </is>
      </c>
      <c r="B48" s="6" t="inlineStr">
        <is>
          <t>3b919211-a15b-5f8e-8280-4abffe96d876</t>
        </is>
      </c>
      <c r="C48" s="6" t="inlineStr">
        <is>
          <t>Bodega Taqueria y Tequila</t>
        </is>
      </c>
      <c r="D48" s="6" t="inlineStr">
        <is>
          <t>Bodega Taqueria y Tequila South Beach (Hidden Speakeasy)</t>
        </is>
      </c>
      <c r="E48" s="6" t="inlineStr">
        <is>
          <t>1220 16th St, Miami Beach, FL 33139</t>
        </is>
      </c>
      <c r="F48" s="6" t="inlineStr">
        <is>
          <t>Miami Beach</t>
        </is>
      </c>
      <c r="G48" s="6" t="inlineStr">
        <is>
          <t>South Beach</t>
        </is>
      </c>
      <c r="H48" s="8" t="n">
        <v>25.7887693</v>
      </c>
      <c r="I48" s="8" t="n">
        <v>-80.1416261</v>
      </c>
      <c r="J48" s="9" t="inlineStr">
        <is>
          <t>View on Map</t>
        </is>
      </c>
      <c r="K48" s="6" t="n"/>
      <c r="L48" s="6" t="inlineStr">
        <is>
          <t>Open daily</t>
        </is>
      </c>
      <c r="M48" s="7" t="inlineStr">
        <is>
          <t>active</t>
        </is>
      </c>
      <c r="N48" s="6" t="inlineStr">
        <is>
          <t>geocoded (high, structured_address)</t>
        </is>
      </c>
      <c r="O48" s="7" t="inlineStr">
        <is>
          <t>Complete</t>
        </is>
      </c>
      <c r="P48" s="18" t="inlineStr">
        <is>
          <t>Missing</t>
        </is>
      </c>
      <c r="Q48" s="6" t="inlineStr">
        <is>
          <t>The Porta-Potty Portal</t>
        </is>
      </c>
    </row>
    <row r="49">
      <c r="A49" s="13" t="inlineStr">
        <is>
          <t>d55e37b0-a95c-5b5a-a7dc-8fbfc86e2401</t>
        </is>
      </c>
      <c r="B49" s="13" t="inlineStr">
        <is>
          <t>e3910d7b-7879-5b99-91f5-b802abb6f486</t>
        </is>
      </c>
      <c r="C49" s="13" t="inlineStr">
        <is>
          <t>Broken Shaker</t>
        </is>
      </c>
      <c r="D49" s="13" t="inlineStr">
        <is>
          <t>Broken Shaker at Freehand Miami</t>
        </is>
      </c>
      <c r="E49" s="13" t="inlineStr">
        <is>
          <t>2727 Indian Creek Dr, Miami Beach, FL 33140</t>
        </is>
      </c>
      <c r="F49" s="13" t="inlineStr">
        <is>
          <t>Miami Beach</t>
        </is>
      </c>
      <c r="G49" s="13" t="inlineStr">
        <is>
          <t>South Beach</t>
        </is>
      </c>
      <c r="H49" s="14" t="n">
        <v>25.8045422</v>
      </c>
      <c r="I49" s="14" t="n">
        <v>-80.1263489</v>
      </c>
      <c r="J49" s="15" t="inlineStr">
        <is>
          <t>View on Map</t>
        </is>
      </c>
      <c r="K49" s="13" t="n"/>
      <c r="L49" s="13" t="n"/>
      <c r="M49" s="7" t="inlineStr">
        <is>
          <t>active</t>
        </is>
      </c>
      <c r="N49" s="13" t="inlineStr">
        <is>
          <t>geocoded (high, structured_address)</t>
        </is>
      </c>
      <c r="O49" s="7" t="inlineStr">
        <is>
          <t>Complete</t>
        </is>
      </c>
      <c r="P49" s="18" t="inlineStr">
        <is>
          <t>Missing</t>
        </is>
      </c>
      <c r="Q49" s="13" t="inlineStr">
        <is>
          <t>The Pop-Up That Stayed</t>
        </is>
      </c>
    </row>
    <row r="50">
      <c r="A50" s="6" t="inlineStr">
        <is>
          <t>6326d75b-8ddf-5b94-8d81-23ff2f889552</t>
        </is>
      </c>
      <c r="B50" s="6" t="inlineStr">
        <is>
          <t>833529ce-a8c6-5ed7-8bf4-4fe76647d01d</t>
        </is>
      </c>
      <c r="C50" s="6" t="inlineStr">
        <is>
          <t>Española Way</t>
        </is>
      </c>
      <c r="D50" s="6" t="inlineStr">
        <is>
          <t>Española Way</t>
        </is>
      </c>
      <c r="E50" s="6" t="inlineStr">
        <is>
          <t>419 Española Way, Miami Beach, FL 33139</t>
        </is>
      </c>
      <c r="F50" s="6" t="inlineStr">
        <is>
          <t>Miami Beach</t>
        </is>
      </c>
      <c r="G50" s="6" t="inlineStr">
        <is>
          <t>South Beach</t>
        </is>
      </c>
      <c r="H50" s="8" t="n">
        <v>25.7870053</v>
      </c>
      <c r="I50" s="8" t="n">
        <v>-80.1320681</v>
      </c>
      <c r="J50" s="9" t="inlineStr">
        <is>
          <t>View on Map</t>
        </is>
      </c>
      <c r="K50" s="6" t="n"/>
      <c r="L50" s="6" t="n"/>
      <c r="M50" s="7" t="inlineStr">
        <is>
          <t>active</t>
        </is>
      </c>
      <c r="N50" s="6" t="inlineStr">
        <is>
          <t>geocoded (high, structured_address)</t>
        </is>
      </c>
      <c r="O50" s="7" t="inlineStr">
        <is>
          <t>Complete</t>
        </is>
      </c>
      <c r="P50" s="18" t="inlineStr">
        <is>
          <t>Missing</t>
        </is>
      </c>
      <c r="Q50" s="6" t="inlineStr">
        <is>
          <t>The Spanish Detour</t>
        </is>
      </c>
    </row>
    <row r="51">
      <c r="A51" s="13" t="inlineStr">
        <is>
          <t>97c960d0-55e2-5fcf-be27-e5c1dc78f58d</t>
        </is>
      </c>
      <c r="B51" s="13" t="inlineStr">
        <is>
          <t>fd491c98-f9f9-55df-bdd2-524064c0cf50</t>
        </is>
      </c>
      <c r="C51" s="13" t="inlineStr">
        <is>
          <t>Lummus Park</t>
        </is>
      </c>
      <c r="D51" s="13" t="inlineStr">
        <is>
          <t>Lummus Park</t>
        </is>
      </c>
      <c r="E51" s="13" t="inlineStr">
        <is>
          <t>Ocean Dr (between 5th St and 15th St), Miami Beach, FL 33139</t>
        </is>
      </c>
      <c r="F51" s="13" t="inlineStr">
        <is>
          <t>Miami Beach</t>
        </is>
      </c>
      <c r="G51" s="13" t="inlineStr">
        <is>
          <t>South Beach</t>
        </is>
      </c>
      <c r="H51" s="14" t="n">
        <v>25.7806133</v>
      </c>
      <c r="I51" s="14" t="n">
        <v>-80.12989330000001</v>
      </c>
      <c r="J51" s="15" t="inlineStr">
        <is>
          <t>View on Map</t>
        </is>
      </c>
      <c r="K51" s="13" t="n"/>
      <c r="L51" s="13" t="n"/>
      <c r="M51" s="7" t="inlineStr">
        <is>
          <t>active</t>
        </is>
      </c>
      <c r="N51" s="13" t="inlineStr">
        <is>
          <t>geocoded (medium, place_name)</t>
        </is>
      </c>
      <c r="O51" s="7" t="inlineStr">
        <is>
          <t>Complete</t>
        </is>
      </c>
      <c r="P51" s="18" t="inlineStr">
        <is>
          <t>Missing</t>
        </is>
      </c>
      <c r="Q51" s="13" t="inlineStr">
        <is>
          <t>Postcard Row</t>
        </is>
      </c>
    </row>
    <row r="52">
      <c r="A52" s="6" t="inlineStr">
        <is>
          <t>63e9ec9b-9501-591a-a857-cbe5053a3434</t>
        </is>
      </c>
      <c r="B52" s="6" t="inlineStr">
        <is>
          <t>c52d5929-de1b-5d2c-bc9d-84564c78a487</t>
        </is>
      </c>
      <c r="C52" s="6" t="inlineStr">
        <is>
          <t>Mac's Club Deuce</t>
        </is>
      </c>
      <c r="D52" s="6" t="inlineStr">
        <is>
          <t>Mac's Club Deuce</t>
        </is>
      </c>
      <c r="E52" s="6" t="inlineStr">
        <is>
          <t>222 14th St, Miami Beach, FL 33139</t>
        </is>
      </c>
      <c r="F52" s="6" t="inlineStr">
        <is>
          <t>Miami Beach</t>
        </is>
      </c>
      <c r="G52" s="6" t="inlineStr">
        <is>
          <t>South Beach</t>
        </is>
      </c>
      <c r="H52" s="8" t="n">
        <v>25.7852938</v>
      </c>
      <c r="I52" s="8" t="n">
        <v>-80.1314647</v>
      </c>
      <c r="J52" s="9" t="inlineStr">
        <is>
          <t>View on Map</t>
        </is>
      </c>
      <c r="K52" s="6" t="n"/>
      <c r="L52" s="6" t="n"/>
      <c r="M52" s="7" t="inlineStr">
        <is>
          <t>active</t>
        </is>
      </c>
      <c r="N52" s="6" t="inlineStr">
        <is>
          <t>workbook</t>
        </is>
      </c>
      <c r="O52" s="7" t="inlineStr">
        <is>
          <t>Complete</t>
        </is>
      </c>
      <c r="P52" s="18" t="inlineStr">
        <is>
          <t>Missing</t>
        </is>
      </c>
      <c r="Q52" s="6" t="inlineStr">
        <is>
          <t>The Hundred-Year Dive</t>
        </is>
      </c>
    </row>
    <row r="53">
      <c r="A53" s="13" t="inlineStr">
        <is>
          <t>7a0964cc-7ec6-5a79-b2e8-45474df501c2</t>
        </is>
      </c>
      <c r="B53" s="13" t="inlineStr">
        <is>
          <t>013760c2-e7bc-5bc6-8226-a0887e82c453</t>
        </is>
      </c>
      <c r="C53" s="13" t="inlineStr">
        <is>
          <t>Rosetta Bakery</t>
        </is>
      </c>
      <c r="D53" s="13" t="inlineStr">
        <is>
          <t>Rosetta Bakery - South Beach</t>
        </is>
      </c>
      <c r="E53" s="13" t="inlineStr">
        <is>
          <t>1666 Collins Ave, Miami Beach, FL 33139</t>
        </is>
      </c>
      <c r="F53" s="13" t="inlineStr">
        <is>
          <t>Miami Beach</t>
        </is>
      </c>
      <c r="G53" s="13" t="inlineStr">
        <is>
          <t>South Beach</t>
        </is>
      </c>
      <c r="H53" s="14" t="n">
        <v>25.7914055</v>
      </c>
      <c r="I53" s="14" t="n">
        <v>-80.1300535</v>
      </c>
      <c r="J53" s="15" t="inlineStr">
        <is>
          <t>View on Map</t>
        </is>
      </c>
      <c r="K53" s="13" t="n"/>
      <c r="L53" s="13" t="n"/>
      <c r="M53" s="7" t="inlineStr">
        <is>
          <t>active</t>
        </is>
      </c>
      <c r="N53" s="13" t="inlineStr">
        <is>
          <t>geocoded (high, structured_address)</t>
        </is>
      </c>
      <c r="O53" s="7" t="inlineStr">
        <is>
          <t>Complete</t>
        </is>
      </c>
      <c r="P53" s="18" t="inlineStr">
        <is>
          <t>Missing</t>
        </is>
      </c>
      <c r="Q53" s="13" t="inlineStr">
        <is>
          <t>La Dolce Collins</t>
        </is>
      </c>
    </row>
    <row r="54">
      <c r="A54" s="6" t="inlineStr">
        <is>
          <t>04a443e2-13f5-5c44-b438-41d6ca8d957c</t>
        </is>
      </c>
      <c r="B54" s="6" t="inlineStr">
        <is>
          <t>b3e6fae9-38f7-52e0-a4c3-17d2e88ef2f9</t>
        </is>
      </c>
      <c r="C54" s="6" t="inlineStr">
        <is>
          <t>The Bass</t>
        </is>
      </c>
      <c r="D54" s="6" t="inlineStr">
        <is>
          <t>The Bass</t>
        </is>
      </c>
      <c r="E54" s="6" t="inlineStr">
        <is>
          <t>2100 Collins Ave, Miami Beach, FL 33139</t>
        </is>
      </c>
      <c r="F54" s="6" t="inlineStr">
        <is>
          <t>Miami Beach</t>
        </is>
      </c>
      <c r="G54" s="6" t="inlineStr">
        <is>
          <t>South Beach</t>
        </is>
      </c>
      <c r="H54" s="8" t="n">
        <v>25.7973966</v>
      </c>
      <c r="I54" s="8" t="n">
        <v>-80.12995359999999</v>
      </c>
      <c r="J54" s="9" t="inlineStr">
        <is>
          <t>View on Map</t>
        </is>
      </c>
      <c r="K54" s="6" t="n"/>
      <c r="L54" s="6" t="n"/>
      <c r="M54" s="7" t="inlineStr">
        <is>
          <t>active</t>
        </is>
      </c>
      <c r="N54" s="6" t="inlineStr">
        <is>
          <t>workbook</t>
        </is>
      </c>
      <c r="O54" s="7" t="inlineStr">
        <is>
          <t>Complete</t>
        </is>
      </c>
      <c r="P54" s="18" t="inlineStr">
        <is>
          <t>Missing</t>
        </is>
      </c>
      <c r="Q54" s="6" t="inlineStr">
        <is>
          <t>Bass Notes</t>
        </is>
      </c>
    </row>
    <row r="55">
      <c r="A55" s="13" t="inlineStr">
        <is>
          <t>5cfc815f-9a61-529e-9c82-e27c7a4be290</t>
        </is>
      </c>
      <c r="B55" s="13" t="inlineStr">
        <is>
          <t>5474f431-39f5-5368-ae3c-087317e8bafb</t>
        </is>
      </c>
      <c r="C55" s="13" t="inlineStr">
        <is>
          <t>The Temple House</t>
        </is>
      </c>
      <c r="D55" s="13" t="inlineStr">
        <is>
          <t>The Temple House</t>
        </is>
      </c>
      <c r="E55" s="13" t="inlineStr">
        <is>
          <t>1415 Euclid Ave, Miami Beach, FL 33139</t>
        </is>
      </c>
      <c r="F55" s="13" t="inlineStr">
        <is>
          <t>Miami Beach</t>
        </is>
      </c>
      <c r="G55" s="13" t="inlineStr">
        <is>
          <t>South Beach</t>
        </is>
      </c>
      <c r="H55" s="14" t="n">
        <v>25.785967</v>
      </c>
      <c r="I55" s="14" t="n">
        <v>-80.134925</v>
      </c>
      <c r="J55" s="15" t="inlineStr">
        <is>
          <t>View on Map</t>
        </is>
      </c>
      <c r="K55" s="13" t="n"/>
      <c r="L55" s="13" t="n"/>
      <c r="M55" s="7" t="inlineStr">
        <is>
          <t>active</t>
        </is>
      </c>
      <c r="N55" s="13" t="inlineStr">
        <is>
          <t>workbook</t>
        </is>
      </c>
      <c r="O55" s="7" t="inlineStr">
        <is>
          <t>Complete</t>
        </is>
      </c>
      <c r="P55" s="18" t="inlineStr">
        <is>
          <t>Missing</t>
        </is>
      </c>
      <c r="Q55" s="13" t="inlineStr">
        <is>
          <t>Deco in Disguise</t>
        </is>
      </c>
    </row>
    <row r="56">
      <c r="A56" s="6" t="inlineStr">
        <is>
          <t>61027ac0-fb14-523b-8d20-8443f246e97d</t>
        </is>
      </c>
      <c r="B56" s="6" t="inlineStr">
        <is>
          <t>fed2dca2-9985-578d-bbda-5e2c59018af9</t>
        </is>
      </c>
      <c r="C56" s="6" t="inlineStr">
        <is>
          <t>Under the Mango Tree</t>
        </is>
      </c>
      <c r="D56" s="6" t="inlineStr">
        <is>
          <t>Under the Mango Tree</t>
        </is>
      </c>
      <c r="E56" s="6" t="inlineStr">
        <is>
          <t>737 5th St, Miami Beach, FL 33139</t>
        </is>
      </c>
      <c r="F56" s="6" t="inlineStr">
        <is>
          <t>Miami Beach</t>
        </is>
      </c>
      <c r="G56" s="6" t="inlineStr">
        <is>
          <t>South Beach (South of Fifth)</t>
        </is>
      </c>
      <c r="H56" s="8" t="n">
        <v>25.7747548</v>
      </c>
      <c r="I56" s="8" t="n">
        <v>-80.1358438</v>
      </c>
      <c r="J56" s="9" t="inlineStr">
        <is>
          <t>View on Map</t>
        </is>
      </c>
      <c r="K56" s="6" t="n"/>
      <c r="L56" s="6" t="n"/>
      <c r="M56" s="7" t="inlineStr">
        <is>
          <t>active</t>
        </is>
      </c>
      <c r="N56" s="6" t="inlineStr">
        <is>
          <t>workbook</t>
        </is>
      </c>
      <c r="O56" s="7" t="inlineStr">
        <is>
          <t>Complete</t>
        </is>
      </c>
      <c r="P56" s="18" t="inlineStr">
        <is>
          <t>Missing</t>
        </is>
      </c>
      <c r="Q56" s="6" t="inlineStr">
        <is>
          <t>Mango State of Mind</t>
        </is>
      </c>
    </row>
    <row r="57">
      <c r="A57" s="13" t="inlineStr">
        <is>
          <t>cfb6485e-3772-5d94-82bc-64fa0865d54d</t>
        </is>
      </c>
      <c r="B57" s="13" t="inlineStr">
        <is>
          <t>b7dec364-dff7-5da4-a66c-b8b127afe2dc</t>
        </is>
      </c>
      <c r="C57" s="13" t="inlineStr">
        <is>
          <t>Joia Beach</t>
        </is>
      </c>
      <c r="D57" s="13" t="inlineStr">
        <is>
          <t>Joia Beach Restaurant and Beach Club</t>
        </is>
      </c>
      <c r="E57" s="13" t="inlineStr">
        <is>
          <t>1111 Parrot Jungle Trail, Miami, FL 33132</t>
        </is>
      </c>
      <c r="F57" s="13" t="inlineStr">
        <is>
          <t>Miami</t>
        </is>
      </c>
      <c r="G57" s="13" t="inlineStr">
        <is>
          <t>Watson Island</t>
        </is>
      </c>
      <c r="H57" s="14" t="n">
        <v>25.7861775</v>
      </c>
      <c r="I57" s="14" t="n">
        <v>-80.1746936</v>
      </c>
      <c r="J57" s="15" t="inlineStr">
        <is>
          <t>View on Map</t>
        </is>
      </c>
      <c r="K57" s="13" t="n"/>
      <c r="L57" s="13" t="n"/>
      <c r="M57" s="7" t="inlineStr">
        <is>
          <t>active</t>
        </is>
      </c>
      <c r="N57" s="13" t="inlineStr">
        <is>
          <t>geocoded (high, structured_address)</t>
        </is>
      </c>
      <c r="O57" s="7" t="inlineStr">
        <is>
          <t>Complete</t>
        </is>
      </c>
      <c r="P57" s="18" t="inlineStr">
        <is>
          <t>Missing</t>
        </is>
      </c>
      <c r="Q57" s="13" t="inlineStr">
        <is>
          <t>Island Detour</t>
        </is>
      </c>
    </row>
    <row r="58">
      <c r="A58" s="6" t="inlineStr">
        <is>
          <t>38309324-6a3f-5d8c-bc53-36939a4d3559</t>
        </is>
      </c>
      <c r="B58" s="6" t="inlineStr">
        <is>
          <t>dce8d898-6e8d-554a-9922-17d2c1326c0e</t>
        </is>
      </c>
      <c r="C58" s="6" t="inlineStr">
        <is>
          <t>Jungle Island</t>
        </is>
      </c>
      <c r="D58" s="6" t="inlineStr">
        <is>
          <t>Jungle Island</t>
        </is>
      </c>
      <c r="E58" s="6" t="inlineStr">
        <is>
          <t>1111 Parrot Jungle Trail, Miami, FL 33132</t>
        </is>
      </c>
      <c r="F58" s="6" t="inlineStr">
        <is>
          <t>Miami</t>
        </is>
      </c>
      <c r="G58" s="6" t="inlineStr">
        <is>
          <t>Watson Island</t>
        </is>
      </c>
      <c r="H58" s="8" t="n">
        <v>25.786155</v>
      </c>
      <c r="I58" s="8" t="n">
        <v>-80.174993</v>
      </c>
      <c r="J58" s="9" t="inlineStr">
        <is>
          <t>View on Map</t>
        </is>
      </c>
      <c r="K58" s="6" t="n"/>
      <c r="L58" s="6" t="inlineStr">
        <is>
          <t>Open daily</t>
        </is>
      </c>
      <c r="M58" s="7" t="inlineStr">
        <is>
          <t>active</t>
        </is>
      </c>
      <c r="N58" s="6" t="inlineStr">
        <is>
          <t>workbook</t>
        </is>
      </c>
      <c r="O58" s="7" t="inlineStr">
        <is>
          <t>Complete</t>
        </is>
      </c>
      <c r="P58" s="18" t="inlineStr">
        <is>
          <t>Missing</t>
        </is>
      </c>
      <c r="Q58" s="6" t="inlineStr">
        <is>
          <t>The Wild Side of Watson Island</t>
        </is>
      </c>
    </row>
    <row r="59">
      <c r="A59" s="13" t="inlineStr">
        <is>
          <t>53c6867a-1cd4-5474-b0b5-d72e6d52b27a</t>
        </is>
      </c>
      <c r="B59" s="13" t="inlineStr">
        <is>
          <t>8723bb30-c43e-5dd1-9c7b-a55541c17b41</t>
        </is>
      </c>
      <c r="C59" s="13" t="inlineStr">
        <is>
          <t>1-800-Lucky</t>
        </is>
      </c>
      <c r="D59" s="13" t="inlineStr">
        <is>
          <t>1-800-Lucky</t>
        </is>
      </c>
      <c r="E59" s="13" t="inlineStr">
        <is>
          <t>143 NW 23rd St, Miami, FL 33127</t>
        </is>
      </c>
      <c r="F59" s="13" t="inlineStr">
        <is>
          <t>Miami</t>
        </is>
      </c>
      <c r="G59" s="13" t="inlineStr">
        <is>
          <t>Wynwood</t>
        </is>
      </c>
      <c r="H59" s="14" t="n">
        <v>25.7993233</v>
      </c>
      <c r="I59" s="14" t="n">
        <v>-80.1979686</v>
      </c>
      <c r="J59" s="15" t="inlineStr">
        <is>
          <t>View on Map</t>
        </is>
      </c>
      <c r="K59" s="13" t="n"/>
      <c r="L59" s="13" t="n"/>
      <c r="M59" s="7" t="inlineStr">
        <is>
          <t>active</t>
        </is>
      </c>
      <c r="N59" s="13" t="inlineStr">
        <is>
          <t>geocoded (high, structured_address)</t>
        </is>
      </c>
      <c r="O59" s="7" t="inlineStr">
        <is>
          <t>Complete</t>
        </is>
      </c>
      <c r="P59" s="18" t="inlineStr">
        <is>
          <t>Missing</t>
        </is>
      </c>
      <c r="Q59" s="13" t="inlineStr">
        <is>
          <t>Six Ways Lucky</t>
        </is>
      </c>
    </row>
    <row r="60">
      <c r="A60" s="6" t="inlineStr">
        <is>
          <t>0ec8d3e2-bb74-5eef-94f4-e6c6f6c6f9ea</t>
        </is>
      </c>
      <c r="B60" s="6" t="inlineStr">
        <is>
          <t>7fe7ecdd-5738-50cf-b188-9dd31c746ba4</t>
        </is>
      </c>
      <c r="C60" s="6" t="inlineStr">
        <is>
          <t>Dante's HiFi</t>
        </is>
      </c>
      <c r="D60" s="6" t="inlineStr">
        <is>
          <t>Dante's HiFi</t>
        </is>
      </c>
      <c r="E60" s="6" t="inlineStr">
        <is>
          <t>519 NW 26th St, Miami, FL 33127</t>
        </is>
      </c>
      <c r="F60" s="6" t="inlineStr">
        <is>
          <t>Miami</t>
        </is>
      </c>
      <c r="G60" s="6" t="inlineStr">
        <is>
          <t>Wynwood</t>
        </is>
      </c>
      <c r="H60" s="8" t="n">
        <v>25.8011178</v>
      </c>
      <c r="I60" s="8" t="n">
        <v>-80.2037057</v>
      </c>
      <c r="J60" s="9" t="inlineStr">
        <is>
          <t>View on Map</t>
        </is>
      </c>
      <c r="K60" s="6" t="n"/>
      <c r="L60" s="6" t="n"/>
      <c r="M60" s="7" t="inlineStr">
        <is>
          <t>active</t>
        </is>
      </c>
      <c r="N60" s="6" t="inlineStr">
        <is>
          <t>workbook</t>
        </is>
      </c>
      <c r="O60" s="7" t="inlineStr">
        <is>
          <t>Complete</t>
        </is>
      </c>
      <c r="P60" s="18" t="inlineStr">
        <is>
          <t>Missing</t>
        </is>
      </c>
      <c r="Q60" s="6" t="inlineStr">
        <is>
          <t>Drop the Needle</t>
        </is>
      </c>
    </row>
    <row r="61">
      <c r="A61" s="13" t="inlineStr">
        <is>
          <t>f297d4f8-9526-5c0d-9c43-c3dba53079a4</t>
        </is>
      </c>
      <c r="B61" s="13" t="inlineStr">
        <is>
          <t>34dbd889-65bc-584c-84e8-4ccd262de7da</t>
        </is>
      </c>
      <c r="C61" s="13" t="inlineStr">
        <is>
          <t>Dasher &amp; Crank</t>
        </is>
      </c>
      <c r="D61" s="13" t="inlineStr">
        <is>
          <t>Dasher &amp; Crank</t>
        </is>
      </c>
      <c r="E61" s="13" t="inlineStr">
        <is>
          <t>2211 NW 2nd Ave, Miami, FL 33127</t>
        </is>
      </c>
      <c r="F61" s="13" t="inlineStr">
        <is>
          <t>Miami</t>
        </is>
      </c>
      <c r="G61" s="13" t="inlineStr">
        <is>
          <t>Wynwood</t>
        </is>
      </c>
      <c r="H61" s="14" t="n">
        <v>25.7982083</v>
      </c>
      <c r="I61" s="14" t="n">
        <v>-80.19908340000001</v>
      </c>
      <c r="J61" s="15" t="inlineStr">
        <is>
          <t>View on Map</t>
        </is>
      </c>
      <c r="K61" s="13" t="n"/>
      <c r="L61" s="13" t="n"/>
      <c r="M61" s="7" t="inlineStr">
        <is>
          <t>active</t>
        </is>
      </c>
      <c r="N61" s="13" t="inlineStr">
        <is>
          <t>geocoded (high, structured_address)</t>
        </is>
      </c>
      <c r="O61" s="7" t="inlineStr">
        <is>
          <t>Complete</t>
        </is>
      </c>
      <c r="P61" s="18" t="inlineStr">
        <is>
          <t>Missing</t>
        </is>
      </c>
      <c r="Q61" s="13" t="inlineStr">
        <is>
          <t>The Dasher &amp; Crank Riddle</t>
        </is>
      </c>
    </row>
    <row r="62">
      <c r="A62" s="6" t="inlineStr">
        <is>
          <t>97c2c829-1eba-53c0-84e4-f02dfd40ef40</t>
        </is>
      </c>
      <c r="B62" s="6" t="inlineStr">
        <is>
          <t>a29163be-6b51-5842-9d44-b0d0deb646f6</t>
        </is>
      </c>
      <c r="C62" s="6" t="inlineStr">
        <is>
          <t>Miam Café</t>
        </is>
      </c>
      <c r="D62" s="6" t="inlineStr">
        <is>
          <t>Miam Café - Wynwood</t>
        </is>
      </c>
      <c r="E62" s="6" t="inlineStr">
        <is>
          <t>2750 NW 3rd Ave, Miami, FL 33127</t>
        </is>
      </c>
      <c r="F62" s="6" t="inlineStr">
        <is>
          <t>Miami</t>
        </is>
      </c>
      <c r="G62" s="6" t="inlineStr">
        <is>
          <t>Wynwood</t>
        </is>
      </c>
      <c r="H62" s="8" t="n">
        <v>25.802408</v>
      </c>
      <c r="I62" s="8" t="n">
        <v>-80.2016552</v>
      </c>
      <c r="J62" s="9" t="inlineStr">
        <is>
          <t>View on Map</t>
        </is>
      </c>
      <c r="K62" s="6" t="n"/>
      <c r="L62" s="6" t="n"/>
      <c r="M62" s="7" t="inlineStr">
        <is>
          <t>active</t>
        </is>
      </c>
      <c r="N62" s="6" t="inlineStr">
        <is>
          <t>geocoded (high, structured_address)</t>
        </is>
      </c>
      <c r="O62" s="7" t="inlineStr">
        <is>
          <t>Complete</t>
        </is>
      </c>
      <c r="P62" s="18" t="inlineStr">
        <is>
          <t>Missing</t>
        </is>
      </c>
      <c r="Q62" s="6" t="inlineStr">
        <is>
          <t>Say 'Miam'</t>
        </is>
      </c>
    </row>
    <row r="63">
      <c r="A63" s="13" t="inlineStr">
        <is>
          <t>062ce6b7-f9df-5c53-b7b0-de16fcc22eb8</t>
        </is>
      </c>
      <c r="B63" s="13" t="inlineStr">
        <is>
          <t>b7a5c65e-0674-54c8-9e2f-c17fe6402861</t>
        </is>
      </c>
      <c r="C63" s="13" t="inlineStr">
        <is>
          <t>Panther Coffee</t>
        </is>
      </c>
      <c r="D63" s="13" t="inlineStr">
        <is>
          <t>Panther Coffee - Wynwood</t>
        </is>
      </c>
      <c r="E63" s="13" t="inlineStr">
        <is>
          <t>2390 NW 2nd Ave, Miami, FL 33127</t>
        </is>
      </c>
      <c r="F63" s="13" t="inlineStr">
        <is>
          <t>Miami</t>
        </is>
      </c>
      <c r="G63" s="13" t="inlineStr">
        <is>
          <t>Wynwood</t>
        </is>
      </c>
      <c r="H63" s="14" t="n">
        <v>25.79994</v>
      </c>
      <c r="I63" s="14" t="n">
        <v>-80.199245</v>
      </c>
      <c r="J63" s="15" t="inlineStr">
        <is>
          <t>View on Map</t>
        </is>
      </c>
      <c r="K63" s="13" t="n"/>
      <c r="L63" s="13" t="n"/>
      <c r="M63" s="7" t="inlineStr">
        <is>
          <t>active</t>
        </is>
      </c>
      <c r="N63" s="13" t="inlineStr">
        <is>
          <t>workbook</t>
        </is>
      </c>
      <c r="O63" s="7" t="inlineStr">
        <is>
          <t>Complete</t>
        </is>
      </c>
      <c r="P63" s="18" t="inlineStr">
        <is>
          <t>Missing</t>
        </is>
      </c>
      <c r="Q63" s="13" t="inlineStr">
        <is>
          <t>The Wynwood Original</t>
        </is>
      </c>
    </row>
    <row r="64">
      <c r="A64" s="6" t="inlineStr">
        <is>
          <t>1540d4fd-088d-5194-9463-47458122fca4</t>
        </is>
      </c>
      <c r="B64" s="6" t="inlineStr">
        <is>
          <t>ec81a30a-4798-5e3f-ab15-130b8a9504d3</t>
        </is>
      </c>
      <c r="C64" s="6" t="inlineStr">
        <is>
          <t>The Salty Donut</t>
        </is>
      </c>
      <c r="D64" s="6" t="inlineStr">
        <is>
          <t>The Salty Donut - Wynwood</t>
        </is>
      </c>
      <c r="E64" s="6" t="inlineStr">
        <is>
          <t>50 NW 24th St, Unit 106, Miami, FL 33127</t>
        </is>
      </c>
      <c r="F64" s="6" t="inlineStr">
        <is>
          <t>Miami</t>
        </is>
      </c>
      <c r="G64" s="6" t="inlineStr">
        <is>
          <t>Wynwood</t>
        </is>
      </c>
      <c r="H64" s="8" t="n">
        <v>25.7994517</v>
      </c>
      <c r="I64" s="8" t="n">
        <v>-80.1960754</v>
      </c>
      <c r="J64" s="9" t="inlineStr">
        <is>
          <t>View on Map</t>
        </is>
      </c>
      <c r="K64" s="6" t="n"/>
      <c r="L64" s="6" t="n"/>
      <c r="M64" s="7" t="inlineStr">
        <is>
          <t>active</t>
        </is>
      </c>
      <c r="N64" s="6" t="inlineStr">
        <is>
          <t>workbook</t>
        </is>
      </c>
      <c r="O64" s="7" t="inlineStr">
        <is>
          <t>Complete</t>
        </is>
      </c>
      <c r="P64" s="18" t="inlineStr">
        <is>
          <t>Missing</t>
        </is>
      </c>
      <c r="Q64" s="6" t="inlineStr">
        <is>
          <t>Donuts, Coffee, Vibes</t>
        </is>
      </c>
    </row>
    <row r="65">
      <c r="A65" s="13" t="inlineStr">
        <is>
          <t>fbca77fb-abae-5c1a-9a15-2ccaa331a278</t>
        </is>
      </c>
      <c r="B65" s="13" t="inlineStr">
        <is>
          <t>94351bfa-6108-526e-afc3-cdf02a54a8a2</t>
        </is>
      </c>
      <c r="C65" s="13" t="inlineStr">
        <is>
          <t>Wynwood Walls</t>
        </is>
      </c>
      <c r="D65" s="13" t="inlineStr">
        <is>
          <t>Wynwood Walls</t>
        </is>
      </c>
      <c r="E65" s="13" t="inlineStr">
        <is>
          <t>2516 NW 2nd Ave, Miami, FL 33127</t>
        </is>
      </c>
      <c r="F65" s="13" t="inlineStr">
        <is>
          <t>Miami</t>
        </is>
      </c>
      <c r="G65" s="13" t="inlineStr">
        <is>
          <t>Wynwood</t>
        </is>
      </c>
      <c r="H65" s="14" t="n">
        <v>25.801018</v>
      </c>
      <c r="I65" s="14" t="n">
        <v>-80.199493</v>
      </c>
      <c r="J65" s="15" t="inlineStr">
        <is>
          <t>View on Map</t>
        </is>
      </c>
      <c r="K65" s="13" t="inlineStr">
        <is>
          <t>10:30 AM – 6:30 PM</t>
        </is>
      </c>
      <c r="L65" s="13" t="inlineStr">
        <is>
          <t>Daily · timed entry tickets</t>
        </is>
      </c>
      <c r="M65" s="7" t="inlineStr">
        <is>
          <t>active</t>
        </is>
      </c>
      <c r="N65" s="13" t="inlineStr">
        <is>
          <t>workbook</t>
        </is>
      </c>
      <c r="O65" s="7" t="inlineStr">
        <is>
          <t>Complete</t>
        </is>
      </c>
      <c r="P65" s="7" t="inlineStr">
        <is>
          <t>Present</t>
        </is>
      </c>
      <c r="Q65" s="13" t="inlineStr">
        <is>
          <t>Walls That Talk</t>
        </is>
      </c>
    </row>
  </sheetData>
  <autoFilter ref="A3:Q65"/>
  <hyperlinks>
    <hyperlink xmlns:r="http://schemas.openxmlformats.org/officeDocument/2006/relationships" ref="J4" r:id="rId1"/>
    <hyperlink xmlns:r="http://schemas.openxmlformats.org/officeDocument/2006/relationships" ref="J5" r:id="rId2"/>
    <hyperlink xmlns:r="http://schemas.openxmlformats.org/officeDocument/2006/relationships" ref="J6" r:id="rId3"/>
    <hyperlink xmlns:r="http://schemas.openxmlformats.org/officeDocument/2006/relationships" ref="J7" r:id="rId4"/>
    <hyperlink xmlns:r="http://schemas.openxmlformats.org/officeDocument/2006/relationships" ref="J8" r:id="rId5"/>
    <hyperlink xmlns:r="http://schemas.openxmlformats.org/officeDocument/2006/relationships" ref="J9" r:id="rId6"/>
    <hyperlink xmlns:r="http://schemas.openxmlformats.org/officeDocument/2006/relationships" ref="J10" r:id="rId7"/>
    <hyperlink xmlns:r="http://schemas.openxmlformats.org/officeDocument/2006/relationships" ref="J11" r:id="rId8"/>
    <hyperlink xmlns:r="http://schemas.openxmlformats.org/officeDocument/2006/relationships" ref="J12" r:id="rId9"/>
    <hyperlink xmlns:r="http://schemas.openxmlformats.org/officeDocument/2006/relationships" ref="J13" r:id="rId10"/>
    <hyperlink xmlns:r="http://schemas.openxmlformats.org/officeDocument/2006/relationships" ref="J14" r:id="rId11"/>
    <hyperlink xmlns:r="http://schemas.openxmlformats.org/officeDocument/2006/relationships" ref="J15" r:id="rId12"/>
    <hyperlink xmlns:r="http://schemas.openxmlformats.org/officeDocument/2006/relationships" ref="J16" r:id="rId13"/>
    <hyperlink xmlns:r="http://schemas.openxmlformats.org/officeDocument/2006/relationships" ref="J17" r:id="rId14"/>
    <hyperlink xmlns:r="http://schemas.openxmlformats.org/officeDocument/2006/relationships" ref="J18" r:id="rId15"/>
    <hyperlink xmlns:r="http://schemas.openxmlformats.org/officeDocument/2006/relationships" ref="J19" r:id="rId16"/>
    <hyperlink xmlns:r="http://schemas.openxmlformats.org/officeDocument/2006/relationships" ref="J20" r:id="rId17"/>
    <hyperlink xmlns:r="http://schemas.openxmlformats.org/officeDocument/2006/relationships" ref="J21" r:id="rId18"/>
    <hyperlink xmlns:r="http://schemas.openxmlformats.org/officeDocument/2006/relationships" ref="J22" r:id="rId19"/>
    <hyperlink xmlns:r="http://schemas.openxmlformats.org/officeDocument/2006/relationships" ref="J23" r:id="rId20"/>
    <hyperlink xmlns:r="http://schemas.openxmlformats.org/officeDocument/2006/relationships" ref="J24" r:id="rId21"/>
    <hyperlink xmlns:r="http://schemas.openxmlformats.org/officeDocument/2006/relationships" ref="J25" r:id="rId22"/>
    <hyperlink xmlns:r="http://schemas.openxmlformats.org/officeDocument/2006/relationships" ref="J26" r:id="rId23"/>
    <hyperlink xmlns:r="http://schemas.openxmlformats.org/officeDocument/2006/relationships" ref="J27" r:id="rId24"/>
    <hyperlink xmlns:r="http://schemas.openxmlformats.org/officeDocument/2006/relationships" ref="J28" r:id="rId25"/>
    <hyperlink xmlns:r="http://schemas.openxmlformats.org/officeDocument/2006/relationships" ref="J29" r:id="rId26"/>
    <hyperlink xmlns:r="http://schemas.openxmlformats.org/officeDocument/2006/relationships" ref="J30" r:id="rId27"/>
    <hyperlink xmlns:r="http://schemas.openxmlformats.org/officeDocument/2006/relationships" ref="J31" r:id="rId28"/>
    <hyperlink xmlns:r="http://schemas.openxmlformats.org/officeDocument/2006/relationships" ref="J32" r:id="rId29"/>
    <hyperlink xmlns:r="http://schemas.openxmlformats.org/officeDocument/2006/relationships" ref="J33" r:id="rId30"/>
    <hyperlink xmlns:r="http://schemas.openxmlformats.org/officeDocument/2006/relationships" ref="J34" r:id="rId31"/>
    <hyperlink xmlns:r="http://schemas.openxmlformats.org/officeDocument/2006/relationships" ref="J35" r:id="rId32"/>
    <hyperlink xmlns:r="http://schemas.openxmlformats.org/officeDocument/2006/relationships" ref="J36" r:id="rId33"/>
    <hyperlink xmlns:r="http://schemas.openxmlformats.org/officeDocument/2006/relationships" ref="J37" r:id="rId34"/>
    <hyperlink xmlns:r="http://schemas.openxmlformats.org/officeDocument/2006/relationships" ref="J38" r:id="rId35"/>
    <hyperlink xmlns:r="http://schemas.openxmlformats.org/officeDocument/2006/relationships" ref="J39" r:id="rId36"/>
    <hyperlink xmlns:r="http://schemas.openxmlformats.org/officeDocument/2006/relationships" ref="J40" r:id="rId37"/>
    <hyperlink xmlns:r="http://schemas.openxmlformats.org/officeDocument/2006/relationships" ref="J41" r:id="rId38"/>
    <hyperlink xmlns:r="http://schemas.openxmlformats.org/officeDocument/2006/relationships" ref="J42" r:id="rId39"/>
    <hyperlink xmlns:r="http://schemas.openxmlformats.org/officeDocument/2006/relationships" ref="J43" r:id="rId40"/>
    <hyperlink xmlns:r="http://schemas.openxmlformats.org/officeDocument/2006/relationships" ref="J44" r:id="rId41"/>
    <hyperlink xmlns:r="http://schemas.openxmlformats.org/officeDocument/2006/relationships" ref="J45" r:id="rId42"/>
    <hyperlink xmlns:r="http://schemas.openxmlformats.org/officeDocument/2006/relationships" ref="J46" r:id="rId43"/>
    <hyperlink xmlns:r="http://schemas.openxmlformats.org/officeDocument/2006/relationships" ref="J47" r:id="rId44"/>
    <hyperlink xmlns:r="http://schemas.openxmlformats.org/officeDocument/2006/relationships" ref="J48" r:id="rId45"/>
    <hyperlink xmlns:r="http://schemas.openxmlformats.org/officeDocument/2006/relationships" ref="J49" r:id="rId46"/>
    <hyperlink xmlns:r="http://schemas.openxmlformats.org/officeDocument/2006/relationships" ref="J50" r:id="rId47"/>
    <hyperlink xmlns:r="http://schemas.openxmlformats.org/officeDocument/2006/relationships" ref="J51" r:id="rId48"/>
    <hyperlink xmlns:r="http://schemas.openxmlformats.org/officeDocument/2006/relationships" ref="J52" r:id="rId49"/>
    <hyperlink xmlns:r="http://schemas.openxmlformats.org/officeDocument/2006/relationships" ref="J53" r:id="rId50"/>
    <hyperlink xmlns:r="http://schemas.openxmlformats.org/officeDocument/2006/relationships" ref="J54" r:id="rId51"/>
    <hyperlink xmlns:r="http://schemas.openxmlformats.org/officeDocument/2006/relationships" ref="J55" r:id="rId52"/>
    <hyperlink xmlns:r="http://schemas.openxmlformats.org/officeDocument/2006/relationships" ref="J56" r:id="rId53"/>
    <hyperlink xmlns:r="http://schemas.openxmlformats.org/officeDocument/2006/relationships" ref="J57" r:id="rId54"/>
    <hyperlink xmlns:r="http://schemas.openxmlformats.org/officeDocument/2006/relationships" ref="J58" r:id="rId55"/>
    <hyperlink xmlns:r="http://schemas.openxmlformats.org/officeDocument/2006/relationships" ref="J59" r:id="rId56"/>
    <hyperlink xmlns:r="http://schemas.openxmlformats.org/officeDocument/2006/relationships" ref="J60" r:id="rId57"/>
    <hyperlink xmlns:r="http://schemas.openxmlformats.org/officeDocument/2006/relationships" ref="J61" r:id="rId58"/>
    <hyperlink xmlns:r="http://schemas.openxmlformats.org/officeDocument/2006/relationships" ref="J62" r:id="rId59"/>
    <hyperlink xmlns:r="http://schemas.openxmlformats.org/officeDocument/2006/relationships" ref="J63" r:id="rId60"/>
    <hyperlink xmlns:r="http://schemas.openxmlformats.org/officeDocument/2006/relationships" ref="J64" r:id="rId61"/>
    <hyperlink xmlns:r="http://schemas.openxmlformats.org/officeDocument/2006/relationships" ref="J65" r:id="rId6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65"/>
  <sheetViews>
    <sheetView showGridLines="0" workbookViewId="0">
      <pane ySplit="3" topLeftCell="A4" activePane="bottomLeft" state="frozen"/>
      <selection pane="bottomLeft" activeCell="A1" sqref="A1"/>
    </sheetView>
  </sheetViews>
  <sheetFormatPr baseColWidth="8" defaultRowHeight="15"/>
  <cols>
    <col width="12" customWidth="1" min="1" max="1"/>
    <col width="12" customWidth="1" min="2" max="2"/>
    <col width="12" customWidth="1" min="3" max="3"/>
    <col width="26" customWidth="1" min="4" max="4"/>
    <col width="28" customWidth="1" min="5" max="5"/>
    <col width="26" customWidth="1" min="6" max="6"/>
    <col width="24" customWidth="1" min="7" max="7"/>
    <col width="12" customWidth="1" min="8" max="8"/>
    <col width="11" customWidth="1" min="9" max="9"/>
    <col width="8" customWidth="1" min="10" max="10"/>
    <col width="8" customWidth="1" min="11" max="11"/>
    <col width="12" customWidth="1" min="12" max="12"/>
    <col width="42" customWidth="1" min="13" max="13"/>
    <col width="42" customWidth="1" min="14" max="14"/>
    <col width="50" customWidth="1" min="15" max="15"/>
    <col width="11" customWidth="1" min="16" max="16"/>
    <col width="12" customWidth="1" min="17" max="17"/>
    <col width="12" customWidth="1" min="18" max="18"/>
    <col width="13" customWidth="1" min="19" max="19"/>
    <col width="11" customWidth="1" min="20" max="20"/>
    <col width="13" customWidth="1" min="21" max="21"/>
    <col width="24" customWidth="1" min="22" max="22"/>
    <col width="24" customWidth="1" min="23" max="23"/>
    <col width="20" customWidth="1" min="24" max="24"/>
    <col width="20" customWidth="1" min="25" max="25"/>
  </cols>
  <sheetData>
    <row r="1">
      <c r="A1" s="1" t="inlineStr">
        <is>
          <t>QUESTS - every quest with full content and asset status.</t>
        </is>
      </c>
    </row>
    <row r="3">
      <c r="A3" s="2" t="inlineStr">
        <is>
          <t>Quest ID</t>
        </is>
      </c>
      <c r="B3" s="2" t="inlineStr">
        <is>
          <t>Venue ID</t>
        </is>
      </c>
      <c r="C3" s="2" t="inlineStr">
        <is>
          <t>Partner ID</t>
        </is>
      </c>
      <c r="D3" s="2" t="inlineStr">
        <is>
          <t>Slug</t>
        </is>
      </c>
      <c r="E3" s="4" t="inlineStr">
        <is>
          <t>Quest Title</t>
        </is>
      </c>
      <c r="F3" s="4" t="inlineStr">
        <is>
          <t>Venue</t>
        </is>
      </c>
      <c r="G3" s="3" t="inlineStr">
        <is>
          <t>Partner</t>
        </is>
      </c>
      <c r="H3" s="4" t="inlineStr">
        <is>
          <t>Category</t>
        </is>
      </c>
      <c r="I3" s="4" t="inlineStr">
        <is>
          <t>Difficulty</t>
        </is>
      </c>
      <c r="J3" s="4" t="inlineStr">
        <is>
          <t>XP</t>
        </is>
      </c>
      <c r="K3" s="4" t="inlineStr">
        <is>
          <t>Points</t>
        </is>
      </c>
      <c r="L3" s="4" t="inlineStr">
        <is>
          <t>Est. Time</t>
        </is>
      </c>
      <c r="M3" s="4" t="inlineStr">
        <is>
          <t>Objective</t>
        </is>
      </c>
      <c r="N3" s="4" t="inlineStr">
        <is>
          <t>Action Prompt</t>
        </is>
      </c>
      <c r="O3" s="4" t="inlineStr">
        <is>
          <t>Description</t>
        </is>
      </c>
      <c r="P3" s="4" t="inlineStr">
        <is>
          <t>Status</t>
        </is>
      </c>
      <c r="Q3" s="4" t="inlineStr">
        <is>
          <t>Website</t>
        </is>
      </c>
      <c r="R3" s="4" t="inlineStr">
        <is>
          <t>Reviews</t>
        </is>
      </c>
      <c r="S3" s="4" t="inlineStr">
        <is>
          <t>Reviews Source</t>
        </is>
      </c>
      <c r="T3" s="4" t="inlineStr">
        <is>
          <t>Socials</t>
        </is>
      </c>
      <c r="U3" s="4" t="inlineStr">
        <is>
          <t>Socials Source</t>
        </is>
      </c>
      <c r="V3" s="2" t="inlineStr">
        <is>
          <t>QR Code</t>
        </is>
      </c>
      <c r="W3" s="2" t="inlineStr">
        <is>
          <t>QR Destination</t>
        </is>
      </c>
      <c r="X3" s="5" t="inlineStr">
        <is>
          <t>Hero Image Status</t>
        </is>
      </c>
      <c r="Y3" s="5" t="inlineStr">
        <is>
          <t>Logo Status</t>
        </is>
      </c>
    </row>
    <row r="4" ht="49" customHeight="1">
      <c r="A4" s="6" t="inlineStr">
        <is>
          <t>1bc37699-6441-5d08-8919-5e8862c51266</t>
        </is>
      </c>
      <c r="B4" s="6" t="inlineStr">
        <is>
          <t>6b7bfbce-d54d-5bae-a404-a3556226af26</t>
        </is>
      </c>
      <c r="C4" s="6" t="inlineStr">
        <is>
          <t>919575e4-6804-5009-88a5-7deb8ee68e11</t>
        </is>
      </c>
      <c r="D4" s="6" t="inlineStr">
        <is>
          <t>rubell-museum-allapattah</t>
        </is>
      </c>
      <c r="E4" s="6" t="inlineStr">
        <is>
          <t>The Collectors' Warehouse</t>
        </is>
      </c>
      <c r="F4" s="6" t="inlineStr">
        <is>
          <t>Rubell Museum</t>
        </is>
      </c>
      <c r="G4" s="6" t="inlineStr">
        <is>
          <t>Rubell Museum</t>
        </is>
      </c>
      <c r="H4" s="6" t="inlineStr">
        <is>
          <t>art</t>
        </is>
      </c>
      <c r="I4" s="6" t="inlineStr">
        <is>
          <t>medium</t>
        </is>
      </c>
      <c r="J4" s="10" t="n">
        <v>150</v>
      </c>
      <c r="K4" s="10" t="n">
        <v>75</v>
      </c>
      <c r="L4" s="6" t="inlineStr">
        <is>
          <t>15–20 min</t>
        </is>
      </c>
      <c r="M4" s="11" t="inlineStr">
        <is>
          <t>Explore the Rubell and find the artwork you'd smuggle home if no one were watching. Photograph it legally instead.</t>
        </is>
      </c>
      <c r="N4" s="11" t="inlineStr">
        <is>
          <t>Estimate its price out loud. Then add three zeros.</t>
        </is>
      </c>
      <c r="O4" s="11" t="inlineStr">
        <is>
          <t>One family's contemporary art collection grew until it needed its own museum in Allapattah — right across the street from Superblue. Wander it like the world's most serious garage sale.</t>
        </is>
      </c>
      <c r="P4" s="7" t="inlineStr">
        <is>
          <t>active</t>
        </is>
      </c>
      <c r="Q4" s="9" t="inlineStr">
        <is>
          <t>Website</t>
        </is>
      </c>
      <c r="R4" s="9" t="inlineStr">
        <is>
          <t>Google Reviews</t>
        </is>
      </c>
      <c r="S4" s="6" t="inlineStr">
        <is>
          <t>google</t>
        </is>
      </c>
      <c r="T4" s="9" t="inlineStr">
        <is>
          <t>Instagram</t>
        </is>
      </c>
      <c r="U4" s="6" t="inlineStr">
        <is>
          <t>other</t>
        </is>
      </c>
      <c r="V4" s="6" t="inlineStr">
        <is>
          <t>RUBELL-MUSEUM-ALLAPATTAH</t>
        </is>
      </c>
      <c r="W4" s="6" t="inlineStr">
        <is>
          <t>/q/1bc37699-6441-5d08-8919-5e8862c51266</t>
        </is>
      </c>
      <c r="X4" s="12" t="inlineStr">
        <is>
          <t>Needs Sourcing</t>
        </is>
      </c>
      <c r="Y4" s="12" t="inlineStr">
        <is>
          <t>Needs Sourcing</t>
        </is>
      </c>
    </row>
    <row r="5" ht="34" customHeight="1">
      <c r="A5" s="13" t="inlineStr">
        <is>
          <t>7d118a13-e2cd-5075-aa27-6bfe755b95c6</t>
        </is>
      </c>
      <c r="B5" s="13" t="inlineStr">
        <is>
          <t>d3be2ff4-dd15-59a7-bae7-2d5e66849ce7</t>
        </is>
      </c>
      <c r="C5" s="13" t="inlineStr">
        <is>
          <t>4419365c-e6be-59ab-b81a-8c46e679f909</t>
        </is>
      </c>
      <c r="D5" s="13" t="inlineStr">
        <is>
          <t>superblue-miami</t>
        </is>
      </c>
      <c r="E5" s="13" t="inlineStr">
        <is>
          <t>Step Inside the Art</t>
        </is>
      </c>
      <c r="F5" s="13" t="inlineStr">
        <is>
          <t>Superblue Miami</t>
        </is>
      </c>
      <c r="G5" s="13" t="inlineStr">
        <is>
          <t>Superblue Miami</t>
        </is>
      </c>
      <c r="H5" s="13" t="inlineStr">
        <is>
          <t>art</t>
        </is>
      </c>
      <c r="I5" s="13" t="inlineStr">
        <is>
          <t>medium</t>
        </is>
      </c>
      <c r="J5" s="16" t="n">
        <v>150</v>
      </c>
      <c r="K5" s="16" t="n">
        <v>75</v>
      </c>
      <c r="L5" s="13" t="inlineStr">
        <is>
          <t>15–20 min</t>
        </is>
      </c>
      <c r="M5" s="17" t="inlineStr">
        <is>
          <t>Lose yourself in an immersive room and photograph the moment reality bends.</t>
        </is>
      </c>
      <c r="N5" s="17" t="inlineStr">
        <is>
          <t>Take one photo where it's genuinely impossible to tell which way is up.</t>
        </is>
      </c>
      <c r="O5" s="17" t="inlineStr">
        <is>
          <t>In Allapattah, directly across from the Rubell Museum, Superblue trades picture frames for entire rooms. You don't look at this art — you walk into it.</t>
        </is>
      </c>
      <c r="P5" s="7" t="inlineStr">
        <is>
          <t>active</t>
        </is>
      </c>
      <c r="Q5" s="15" t="inlineStr">
        <is>
          <t>Website</t>
        </is>
      </c>
      <c r="R5" s="15" t="inlineStr">
        <is>
          <t>Google Reviews</t>
        </is>
      </c>
      <c r="S5" s="13" t="inlineStr">
        <is>
          <t>yelp</t>
        </is>
      </c>
      <c r="T5" s="15" t="inlineStr">
        <is>
          <t>Instagram</t>
        </is>
      </c>
      <c r="U5" s="13" t="inlineStr">
        <is>
          <t>other</t>
        </is>
      </c>
      <c r="V5" s="13" t="inlineStr">
        <is>
          <t>SUPERBLUE-MIAMI</t>
        </is>
      </c>
      <c r="W5" s="13" t="inlineStr">
        <is>
          <t>/q/7d118a13-e2cd-5075-aa27-6bfe755b95c6</t>
        </is>
      </c>
      <c r="X5" s="12" t="inlineStr">
        <is>
          <t>Needs Sourcing</t>
        </is>
      </c>
      <c r="Y5" s="12" t="inlineStr">
        <is>
          <t>Needs Sourcing</t>
        </is>
      </c>
    </row>
    <row r="6" ht="49" customHeight="1">
      <c r="A6" s="6" t="inlineStr">
        <is>
          <t>5a677ae0-ca95-55d4-9795-13c09141303a</t>
        </is>
      </c>
      <c r="B6" s="6" t="inlineStr">
        <is>
          <t>6eb2e4f0-ff69-5f26-8191-1bb8382cef34</t>
        </is>
      </c>
      <c r="C6" s="6" t="inlineStr">
        <is>
          <t>f34c4834-f4f2-558a-b365-02eb6494393c</t>
        </is>
      </c>
      <c r="D6" s="6" t="inlineStr">
        <is>
          <t>standard-spa-miami-beach</t>
        </is>
      </c>
      <c r="E6" s="6" t="inlineStr">
        <is>
          <t>Island of Calm</t>
        </is>
      </c>
      <c r="F6" s="6" t="inlineStr">
        <is>
          <t>The Standard Spa, Miami Beach</t>
        </is>
      </c>
      <c r="G6" s="6" t="inlineStr">
        <is>
          <t>The Standard Spa, Miami Beach</t>
        </is>
      </c>
      <c r="H6" s="6" t="inlineStr">
        <is>
          <t>fitness</t>
        </is>
      </c>
      <c r="I6" s="6" t="inlineStr">
        <is>
          <t>medium</t>
        </is>
      </c>
      <c r="J6" s="10" t="n">
        <v>150</v>
      </c>
      <c r="K6" s="10" t="n">
        <v>75</v>
      </c>
      <c r="L6" s="6" t="inlineStr">
        <is>
          <t>10–15 min</t>
        </is>
      </c>
      <c r="M6" s="11" t="inlineStr">
        <is>
          <t>Make your way onto Belle Isle and find the entrance to The Standard. Photograph your arrival.</t>
        </is>
      </c>
      <c r="N6" s="11" t="inlineStr">
        <is>
          <t>Take one deep, dramatic spa breath at the entrance. In through the nose. You've earned it.</t>
        </is>
      </c>
      <c r="O6" s="11" t="inlineStr">
        <is>
          <t>An adults-only spa hideaway on Belle Isle, floating between Miami and Miami Beach. The quest is the journey: leave the mainland pace behind and find the island where wellness is the whole point.</t>
        </is>
      </c>
      <c r="P6" s="7" t="inlineStr">
        <is>
          <t>active</t>
        </is>
      </c>
      <c r="Q6" s="9" t="inlineStr">
        <is>
          <t>Website</t>
        </is>
      </c>
      <c r="R6" s="9" t="inlineStr">
        <is>
          <t>Google Reviews</t>
        </is>
      </c>
      <c r="S6" s="6" t="inlineStr">
        <is>
          <t>yelp</t>
        </is>
      </c>
      <c r="T6" s="9" t="inlineStr">
        <is>
          <t>Instagram</t>
        </is>
      </c>
      <c r="U6" s="6" t="inlineStr">
        <is>
          <t>other</t>
        </is>
      </c>
      <c r="V6" s="6" t="inlineStr">
        <is>
          <t>STANDARD-SPA-MIAMI-BEACH</t>
        </is>
      </c>
      <c r="W6" s="6" t="inlineStr">
        <is>
          <t>/q/5a677ae0-ca95-55d4-9795-13c09141303a</t>
        </is>
      </c>
      <c r="X6" s="12" t="inlineStr">
        <is>
          <t>Needs Sourcing</t>
        </is>
      </c>
      <c r="Y6" s="12" t="inlineStr">
        <is>
          <t>Needs Sourcing</t>
        </is>
      </c>
    </row>
    <row r="7" ht="49" customHeight="1">
      <c r="A7" s="13" t="inlineStr">
        <is>
          <t>5cb22f72-5dd3-526f-9ef4-63e9926b1f0f</t>
        </is>
      </c>
      <c r="B7" s="13" t="inlineStr">
        <is>
          <t>e3b25e07-5c7f-5eb7-89ee-4484b4896fb5</t>
        </is>
      </c>
      <c r="C7" s="13" t="inlineStr">
        <is>
          <t>cc5bcf3c-8768-582d-9857-4b8bd0521b32</t>
        </is>
      </c>
      <c r="D7" s="13" t="inlineStr">
        <is>
          <t>brickell-city-centre</t>
        </is>
      </c>
      <c r="E7" s="13" t="inlineStr">
        <is>
          <t>The Vertical City</t>
        </is>
      </c>
      <c r="F7" s="13" t="inlineStr">
        <is>
          <t>Brickell City Centre</t>
        </is>
      </c>
      <c r="G7" s="13" t="inlineStr">
        <is>
          <t>Brickell City Centre</t>
        </is>
      </c>
      <c r="H7" s="13" t="inlineStr">
        <is>
          <t>shopping</t>
        </is>
      </c>
      <c r="I7" s="13" t="inlineStr">
        <is>
          <t>easy</t>
        </is>
      </c>
      <c r="J7" s="16" t="n">
        <v>50</v>
      </c>
      <c r="K7" s="16" t="n">
        <v>25</v>
      </c>
      <c r="L7" s="13" t="inlineStr">
        <is>
          <t>10–15 min</t>
        </is>
      </c>
      <c r="M7" s="17" t="inlineStr">
        <is>
          <t>Explore Brickell City Centre's levels and photograph the view where the architecture steals the show from the shops.</t>
        </is>
      </c>
      <c r="N7" s="17" t="inlineStr">
        <is>
          <t>Window-shop one store wildly outside your budget with complete confidence.</t>
        </is>
      </c>
      <c r="O7" s="17" t="inlineStr">
        <is>
          <t>A shopping city stacked into the middle of Brickell, and still growing — its busiest month on record was as recent as April 2025. The stores are the excuse; the architecture is the reason.</t>
        </is>
      </c>
      <c r="P7" s="7" t="inlineStr">
        <is>
          <t>active</t>
        </is>
      </c>
      <c r="Q7" s="15" t="inlineStr">
        <is>
          <t>Website</t>
        </is>
      </c>
      <c r="R7" s="15" t="inlineStr">
        <is>
          <t>Google Reviews</t>
        </is>
      </c>
      <c r="S7" s="13" t="inlineStr">
        <is>
          <t>google</t>
        </is>
      </c>
      <c r="T7" s="15" t="inlineStr">
        <is>
          <t>Instagram</t>
        </is>
      </c>
      <c r="U7" s="13" t="inlineStr">
        <is>
          <t>other</t>
        </is>
      </c>
      <c r="V7" s="13" t="inlineStr">
        <is>
          <t>BRICKELL-CITY-CENTRE</t>
        </is>
      </c>
      <c r="W7" s="13" t="inlineStr">
        <is>
          <t>/q/5cb22f72-5dd3-526f-9ef4-63e9926b1f0f</t>
        </is>
      </c>
      <c r="X7" s="12" t="inlineStr">
        <is>
          <t>Needs Sourcing</t>
        </is>
      </c>
      <c r="Y7" s="12" t="inlineStr">
        <is>
          <t>Needs Sourcing</t>
        </is>
      </c>
    </row>
    <row r="8" ht="34" customHeight="1">
      <c r="A8" s="6" t="inlineStr">
        <is>
          <t>fb79ddde-85fd-521c-a354-0dd4a144a96f</t>
        </is>
      </c>
      <c r="B8" s="6" t="inlineStr">
        <is>
          <t>42b31588-7629-5b8c-983b-3067c04f657f</t>
        </is>
      </c>
      <c r="C8" s="6" t="inlineStr">
        <is>
          <t>8397b449-800f-5c57-b5b3-c492219c5e57</t>
        </is>
      </c>
      <c r="D8" s="6" t="inlineStr">
        <is>
          <t>komodo-brickell</t>
        </is>
      </c>
      <c r="E8" s="6" t="inlineStr">
        <is>
          <t>Dragon Hunting in Brickell</t>
        </is>
      </c>
      <c r="F8" s="6" t="inlineStr">
        <is>
          <t>Komodo Miami</t>
        </is>
      </c>
      <c r="G8" s="6" t="inlineStr">
        <is>
          <t>Komodo Miami</t>
        </is>
      </c>
      <c r="H8" s="6" t="inlineStr">
        <is>
          <t>food</t>
        </is>
      </c>
      <c r="I8" s="6" t="inlineStr">
        <is>
          <t>medium</t>
        </is>
      </c>
      <c r="J8" s="10" t="n">
        <v>150</v>
      </c>
      <c r="K8" s="10" t="n">
        <v>75</v>
      </c>
      <c r="L8" s="6" t="inlineStr">
        <is>
          <t>10–15 min</t>
        </is>
      </c>
      <c r="M8" s="11" t="inlineStr">
        <is>
          <t>Track down Komodo on Brickell Ave and photograph the boldest detail of the space you can find.</t>
        </is>
      </c>
      <c r="N8" s="11" t="inlineStr">
        <is>
          <t>Work your subtlest dragon impression into the photo. Subtle. We mean it.</t>
        </is>
      </c>
      <c r="O8" s="11" t="inlineStr">
        <is>
          <t>Named after the world's largest lizard and built to match, Komodo is Brickell dining at full spectacle. Come see why this corner of Brickell Avenue roars.</t>
        </is>
      </c>
      <c r="P8" s="7" t="inlineStr">
        <is>
          <t>active</t>
        </is>
      </c>
      <c r="Q8" s="9" t="inlineStr">
        <is>
          <t>Website</t>
        </is>
      </c>
      <c r="R8" s="9" t="inlineStr">
        <is>
          <t>Google Reviews</t>
        </is>
      </c>
      <c r="S8" s="6" t="inlineStr">
        <is>
          <t>google</t>
        </is>
      </c>
      <c r="T8" s="9" t="inlineStr">
        <is>
          <t>Instagram</t>
        </is>
      </c>
      <c r="U8" s="6" t="inlineStr">
        <is>
          <t>other</t>
        </is>
      </c>
      <c r="V8" s="6" t="inlineStr">
        <is>
          <t>KOMODO-BRICKELL</t>
        </is>
      </c>
      <c r="W8" s="6" t="inlineStr">
        <is>
          <t>/q/fb79ddde-85fd-521c-a354-0dd4a144a96f</t>
        </is>
      </c>
      <c r="X8" s="12" t="inlineStr">
        <is>
          <t>Needs Sourcing</t>
        </is>
      </c>
      <c r="Y8" s="12" t="inlineStr">
        <is>
          <t>Needs Sourcing</t>
        </is>
      </c>
    </row>
    <row r="9" ht="49" customHeight="1">
      <c r="A9" s="13" t="inlineStr">
        <is>
          <t>65f023cb-5822-5cf0-952e-70d0f0be9d0a</t>
        </is>
      </c>
      <c r="B9" s="13" t="inlineStr">
        <is>
          <t>0f6a6b02-c168-55be-b383-246fbb54fc65</t>
        </is>
      </c>
      <c r="C9" s="13" t="inlineStr">
        <is>
          <t>05815fa9-244a-54eb-8b42-8aaacfa1a829</t>
        </is>
      </c>
      <c r="D9" s="13" t="inlineStr">
        <is>
          <t>miami-circle-brickell</t>
        </is>
      </c>
      <c r="E9" s="13" t="inlineStr">
        <is>
          <t>The 2,000-Year-Old Circle</t>
        </is>
      </c>
      <c r="F9" s="13" t="inlineStr">
        <is>
          <t>Miami Circle Park</t>
        </is>
      </c>
      <c r="G9" s="13" t="inlineStr">
        <is>
          <t>Miami Circle at Brickell Point</t>
        </is>
      </c>
      <c r="H9" s="13" t="inlineStr">
        <is>
          <t>culture</t>
        </is>
      </c>
      <c r="I9" s="13" t="inlineStr">
        <is>
          <t>easy</t>
        </is>
      </c>
      <c r="J9" s="16" t="n">
        <v>50</v>
      </c>
      <c r="K9" s="16" t="n">
        <v>25</v>
      </c>
      <c r="L9" s="13" t="inlineStr">
        <is>
          <t>10–15 min</t>
        </is>
      </c>
      <c r="M9" s="17" t="inlineStr">
        <is>
          <t>Walk the Riverwalk to Brickell Point and find the Miami Circle. Photograph where the city's oldest story meets its newest skyline.</t>
        </is>
      </c>
      <c r="N9" s="17" t="inlineStr">
        <is>
          <t>Turn one slow, full 360° where you stand — one circle for the Circle.</t>
        </is>
      </c>
      <c r="O9" s="17" t="inlineStr">
        <is>
          <t>In 1998, construction at the mouth of the Miami River uncovered a perfect circle of ancient postholes — a Tequesta site up to 2,700 years old. Skyscrapers rose around it; the circle stayed. It's now a public park on the Riverwalk.</t>
        </is>
      </c>
      <c r="P9" s="7" t="inlineStr">
        <is>
          <t>active</t>
        </is>
      </c>
      <c r="Q9" s="15" t="inlineStr">
        <is>
          <t>Website</t>
        </is>
      </c>
      <c r="R9" s="15" t="inlineStr">
        <is>
          <t>Google Reviews</t>
        </is>
      </c>
      <c r="S9" s="13" t="inlineStr">
        <is>
          <t>google</t>
        </is>
      </c>
      <c r="T9" s="13" t="n"/>
      <c r="U9" s="13" t="n"/>
      <c r="V9" s="13" t="inlineStr">
        <is>
          <t>MIAMI-CIRCLE-BRICKELL</t>
        </is>
      </c>
      <c r="W9" s="13" t="inlineStr">
        <is>
          <t>/q/65f023cb-5822-5cf0-952e-70d0f0be9d0a</t>
        </is>
      </c>
      <c r="X9" s="12" t="inlineStr">
        <is>
          <t>Needs Sourcing</t>
        </is>
      </c>
      <c r="Y9" s="12" t="inlineStr">
        <is>
          <t>Needs Sourcing</t>
        </is>
      </c>
    </row>
    <row r="10" ht="34" customHeight="1">
      <c r="A10" s="6" t="inlineStr">
        <is>
          <t>35d5c752-ef36-5b64-a47c-b5f49a66a340</t>
        </is>
      </c>
      <c r="B10" s="6" t="inlineStr">
        <is>
          <t>e18a2c1e-1f8a-5d9d-99ff-0484a375fa60</t>
        </is>
      </c>
      <c r="C10" s="6" t="inlineStr">
        <is>
          <t>0c17f4b2-fe1e-5e95-8790-628c66f31a5a</t>
        </is>
      </c>
      <c r="D10" s="6" t="inlineStr">
        <is>
          <t>pasion-del-cielo-brickell</t>
        </is>
      </c>
      <c r="E10" s="6" t="inlineStr">
        <is>
          <t>Heaven on Brickell</t>
        </is>
      </c>
      <c r="F10" s="6" t="inlineStr">
        <is>
          <t>Pasión del Cielo Coffee - Brickell</t>
        </is>
      </c>
      <c r="G10" s="6" t="inlineStr">
        <is>
          <t>Pasión del Cielo Coffee</t>
        </is>
      </c>
      <c r="H10" s="6" t="inlineStr">
        <is>
          <t>food</t>
        </is>
      </c>
      <c r="I10" s="6" t="inlineStr">
        <is>
          <t>easy</t>
        </is>
      </c>
      <c r="J10" s="10" t="n">
        <v>50</v>
      </c>
      <c r="K10" s="10" t="n">
        <v>25</v>
      </c>
      <c r="L10" s="6" t="inlineStr">
        <is>
          <t>5–10 min</t>
        </is>
      </c>
      <c r="M10" s="11" t="inlineStr">
        <is>
          <t>Find Pasión del Cielo on Brickell Ave and photograph its name where it appears — then add your own translation.</t>
        </is>
      </c>
      <c r="N10" s="11" t="inlineStr">
        <is>
          <t>Salute the sky as you walk in. El cielo will understand.</t>
        </is>
      </c>
      <c r="O10" s="11" t="inlineStr">
        <is>
          <t>The name means 'passion of heaven,' and it sits in the middle of Brickell's canyon of glass towers. Duck out of the financial district for ten minutes of the good stuff.</t>
        </is>
      </c>
      <c r="P10" s="7" t="inlineStr">
        <is>
          <t>active</t>
        </is>
      </c>
      <c r="Q10" s="9" t="inlineStr">
        <is>
          <t>Website</t>
        </is>
      </c>
      <c r="R10" s="9" t="inlineStr">
        <is>
          <t>Google Reviews</t>
        </is>
      </c>
      <c r="S10" s="6" t="inlineStr">
        <is>
          <t>google</t>
        </is>
      </c>
      <c r="T10" s="9" t="inlineStr">
        <is>
          <t>Instagram</t>
        </is>
      </c>
      <c r="U10" s="6" t="inlineStr">
        <is>
          <t>other</t>
        </is>
      </c>
      <c r="V10" s="6" t="inlineStr">
        <is>
          <t>PASION-DEL-CIELO-BRICKELL</t>
        </is>
      </c>
      <c r="W10" s="6" t="inlineStr">
        <is>
          <t>/q/35d5c752-ef36-5b64-a47c-b5f49a66a340</t>
        </is>
      </c>
      <c r="X10" s="12" t="inlineStr">
        <is>
          <t>Needs Sourcing</t>
        </is>
      </c>
      <c r="Y10" s="12" t="inlineStr">
        <is>
          <t>Needs Sourcing</t>
        </is>
      </c>
    </row>
    <row r="11" ht="34" customHeight="1">
      <c r="A11" s="13" t="inlineStr">
        <is>
          <t>125eb697-a516-549b-a97c-14829ae553c7</t>
        </is>
      </c>
      <c r="B11" s="13" t="inlineStr">
        <is>
          <t>c30b0989-aeab-5535-bf9a-00f0f92d28c8</t>
        </is>
      </c>
      <c r="C11" s="13" t="inlineStr">
        <is>
          <t>af6b0db8-0e00-5f33-8e85-870f037269a4</t>
        </is>
      </c>
      <c r="D11" s="13" t="inlineStr">
        <is>
          <t>sexy-fish-brickell</t>
        </is>
      </c>
      <c r="E11" s="13" t="inlineStr">
        <is>
          <t>Something's Fishy</t>
        </is>
      </c>
      <c r="F11" s="13" t="inlineStr">
        <is>
          <t>Sexy Fish Miami</t>
        </is>
      </c>
      <c r="G11" s="13" t="inlineStr">
        <is>
          <t>Sexy Fish Miami</t>
        </is>
      </c>
      <c r="H11" s="13" t="inlineStr">
        <is>
          <t>food</t>
        </is>
      </c>
      <c r="I11" s="13" t="inlineStr">
        <is>
          <t>medium</t>
        </is>
      </c>
      <c r="J11" s="16" t="n">
        <v>150</v>
      </c>
      <c r="K11" s="16" t="n">
        <v>75</v>
      </c>
      <c r="L11" s="13" t="inlineStr">
        <is>
          <t>10–15 min</t>
        </is>
      </c>
      <c r="M11" s="17" t="inlineStr">
        <is>
          <t>Step into Sexy Fish on S Miami Ave and photograph the most extravagant detail you can find. There are contenders.</t>
        </is>
      </c>
      <c r="N11" s="17" t="inlineStr">
        <is>
          <t>Name your photo like a perfume ad and share the title with your table.</t>
        </is>
      </c>
      <c r="O11" s="17" t="inlineStr">
        <is>
          <t>With a name like Sexy Fish, subtlety was never the plan. This Brickell dining room goes all-in on glamour — come see how deep the theme swims.</t>
        </is>
      </c>
      <c r="P11" s="7" t="inlineStr">
        <is>
          <t>active</t>
        </is>
      </c>
      <c r="Q11" s="15" t="inlineStr">
        <is>
          <t>Website</t>
        </is>
      </c>
      <c r="R11" s="15" t="inlineStr">
        <is>
          <t>Google Reviews</t>
        </is>
      </c>
      <c r="S11" s="13" t="inlineStr">
        <is>
          <t>google</t>
        </is>
      </c>
      <c r="T11" s="15" t="inlineStr">
        <is>
          <t>Instagram</t>
        </is>
      </c>
      <c r="U11" s="13" t="inlineStr">
        <is>
          <t>other</t>
        </is>
      </c>
      <c r="V11" s="13" t="inlineStr">
        <is>
          <t>SEXY-FISH-BRICKELL</t>
        </is>
      </c>
      <c r="W11" s="13" t="inlineStr">
        <is>
          <t>/q/125eb697-a516-549b-a97c-14829ae553c7</t>
        </is>
      </c>
      <c r="X11" s="12" t="inlineStr">
        <is>
          <t>Needs Sourcing</t>
        </is>
      </c>
      <c r="Y11" s="12" t="inlineStr">
        <is>
          <t>Needs Sourcing</t>
        </is>
      </c>
    </row>
    <row r="12" ht="34" customHeight="1">
      <c r="A12" s="6" t="inlineStr">
        <is>
          <t>a8f2d4f3-8541-55f8-9972-60574a392f48</t>
        </is>
      </c>
      <c r="B12" s="6" t="inlineStr">
        <is>
          <t>0f54cfae-e204-56cc-adbe-ce3ebbb828fc</t>
        </is>
      </c>
      <c r="C12" s="6" t="inlineStr">
        <is>
          <t>7822bca9-8c50-549d-8a93-a8cee544a19d</t>
        </is>
      </c>
      <c r="D12" s="6" t="inlineStr">
        <is>
          <t>sugar-rooftop-east-miami</t>
        </is>
      </c>
      <c r="E12" s="6" t="inlineStr">
        <is>
          <t>Forty Floors Up</t>
        </is>
      </c>
      <c r="F12" s="6" t="inlineStr">
        <is>
          <t>Sugar Rooftop at EAST, Miami</t>
        </is>
      </c>
      <c r="G12" s="6" t="inlineStr">
        <is>
          <t>Sugar</t>
        </is>
      </c>
      <c r="H12" s="6" t="inlineStr">
        <is>
          <t>nightlife</t>
        </is>
      </c>
      <c r="I12" s="6" t="inlineStr">
        <is>
          <t>medium</t>
        </is>
      </c>
      <c r="J12" s="10" t="n">
        <v>150</v>
      </c>
      <c r="K12" s="10" t="n">
        <v>75</v>
      </c>
      <c r="L12" s="6" t="inlineStr">
        <is>
          <t>10–20 min</t>
        </is>
      </c>
      <c r="M12" s="11" t="inlineStr">
        <is>
          <t>Reach Sugar on EAST Miami's 40th floor and capture the Brickell skyline from the rooftop.</t>
        </is>
      </c>
      <c r="N12" s="11" t="inlineStr">
        <is>
          <t>Point at the tallest tower you can see and calmly claim it as your future office.</t>
        </is>
      </c>
      <c r="O12" s="11" t="inlineStr">
        <is>
          <t>Ride to the 40th floor of EAST Miami and step into a Balinese-inspired rooftop garden floating over Brickell. Up here the skyline isn't the backdrop — it's the whole show.</t>
        </is>
      </c>
      <c r="P12" s="7" t="inlineStr">
        <is>
          <t>active</t>
        </is>
      </c>
      <c r="Q12" s="9" t="inlineStr">
        <is>
          <t>Website</t>
        </is>
      </c>
      <c r="R12" s="9" t="inlineStr">
        <is>
          <t>Google Reviews</t>
        </is>
      </c>
      <c r="S12" s="6" t="inlineStr">
        <is>
          <t>yelp</t>
        </is>
      </c>
      <c r="T12" s="9" t="inlineStr">
        <is>
          <t>Instagram</t>
        </is>
      </c>
      <c r="U12" s="6" t="inlineStr">
        <is>
          <t>other</t>
        </is>
      </c>
      <c r="V12" s="6" t="inlineStr">
        <is>
          <t>SUGAR-ROOFTOP-EAST-MIAMI</t>
        </is>
      </c>
      <c r="W12" s="6" t="inlineStr">
        <is>
          <t>/q/a8f2d4f3-8541-55f8-9972-60574a392f48</t>
        </is>
      </c>
      <c r="X12" s="12" t="inlineStr">
        <is>
          <t>Needs Sourcing</t>
        </is>
      </c>
      <c r="Y12" s="12" t="inlineStr">
        <is>
          <t>Needs Sourcing</t>
        </is>
      </c>
    </row>
    <row r="13" ht="34" customHeight="1">
      <c r="A13" s="13" t="inlineStr">
        <is>
          <t>b1a724c6-da50-5641-90ee-4d4194c40e89</t>
        </is>
      </c>
      <c r="B13" s="13" t="inlineStr">
        <is>
          <t>7460b27b-0e46-5365-8a6e-1a99418dfd4f</t>
        </is>
      </c>
      <c r="C13" s="13" t="inlineStr">
        <is>
          <t>33a05f27-fd32-5bff-9c25-4d95cf230f25</t>
        </is>
      </c>
      <c r="D13" s="13" t="inlineStr">
        <is>
          <t>tea-room-east-miami</t>
        </is>
      </c>
      <c r="E13" s="13" t="inlineStr">
        <is>
          <t>High Tea, Literally</t>
        </is>
      </c>
      <c r="F13" s="13" t="inlineStr">
        <is>
          <t>Tea Room at EAST, Miami</t>
        </is>
      </c>
      <c r="G13" s="13" t="inlineStr">
        <is>
          <t>Tea Room</t>
        </is>
      </c>
      <c r="H13" s="13" t="inlineStr">
        <is>
          <t>nightlife</t>
        </is>
      </c>
      <c r="I13" s="13" t="inlineStr">
        <is>
          <t>medium</t>
        </is>
      </c>
      <c r="J13" s="16" t="n">
        <v>150</v>
      </c>
      <c r="K13" s="16" t="n">
        <v>75</v>
      </c>
      <c r="L13" s="13" t="inlineStr">
        <is>
          <t>10–20 min</t>
        </is>
      </c>
      <c r="M13" s="17" t="inlineStr">
        <is>
          <t>On a Thursday, Friday or Saturday, ride up EAST Miami and find the Tea Room on the 40th floor. Capture your proof.</t>
        </is>
      </c>
      <c r="N13" s="17" t="inlineStr">
        <is>
          <t>Toast with pinkies out. It is a tea room, after all.</t>
        </is>
      </c>
      <c r="O13" s="17" t="inlineStr">
        <is>
          <t>Forty floors above Brickell, open only Thursday through Saturday, hides an Asian-inspired cocktail lounge called the Tea Room. Part speakeasy, part skybox — all timing.</t>
        </is>
      </c>
      <c r="P13" s="7" t="inlineStr">
        <is>
          <t>active</t>
        </is>
      </c>
      <c r="Q13" s="15" t="inlineStr">
        <is>
          <t>Website</t>
        </is>
      </c>
      <c r="R13" s="15" t="inlineStr">
        <is>
          <t>Google Reviews</t>
        </is>
      </c>
      <c r="S13" s="13" t="inlineStr">
        <is>
          <t>google</t>
        </is>
      </c>
      <c r="T13" s="15" t="inlineStr">
        <is>
          <t>Instagram</t>
        </is>
      </c>
      <c r="U13" s="13" t="inlineStr">
        <is>
          <t>other</t>
        </is>
      </c>
      <c r="V13" s="13" t="inlineStr">
        <is>
          <t>TEA-ROOM-EAST-MIAMI</t>
        </is>
      </c>
      <c r="W13" s="13" t="inlineStr">
        <is>
          <t>/q/b1a724c6-da50-5641-90ee-4d4194c40e89</t>
        </is>
      </c>
      <c r="X13" s="12" t="inlineStr">
        <is>
          <t>Needs Sourcing</t>
        </is>
      </c>
      <c r="Y13" s="12" t="inlineStr">
        <is>
          <t>Needs Sourcing</t>
        </is>
      </c>
    </row>
    <row r="14" ht="34" customHeight="1">
      <c r="A14" s="6" t="inlineStr">
        <is>
          <t>f83fafee-9d6f-5c55-99f2-cf2df2fa9c51</t>
        </is>
      </c>
      <c r="B14" s="6" t="inlineStr">
        <is>
          <t>ce80b621-f3a6-5010-86f2-5e110dd54c14</t>
        </is>
      </c>
      <c r="C14" s="6" t="inlineStr">
        <is>
          <t>63bbc92f-9faa-55d5-b68a-0ac653f0ad1c</t>
        </is>
      </c>
      <c r="D14" s="6" t="inlineStr">
        <is>
          <t>midorie-coconut-grove</t>
        </is>
      </c>
      <c r="E14" s="6" t="inlineStr">
        <is>
          <t>Lost in the Grove</t>
        </is>
      </c>
      <c r="F14" s="6" t="inlineStr">
        <is>
          <t>Midorie Miami</t>
        </is>
      </c>
      <c r="G14" s="6" t="inlineStr">
        <is>
          <t>Midorie Miami</t>
        </is>
      </c>
      <c r="H14" s="6" t="inlineStr">
        <is>
          <t>hidden_gem</t>
        </is>
      </c>
      <c r="I14" s="6" t="inlineStr">
        <is>
          <t>easy</t>
        </is>
      </c>
      <c r="J14" s="10" t="n">
        <v>50</v>
      </c>
      <c r="K14" s="10" t="n">
        <v>25</v>
      </c>
      <c r="L14" s="6" t="inlineStr">
        <is>
          <t>5–10 min</t>
        </is>
      </c>
      <c r="M14" s="11" t="inlineStr">
        <is>
          <t>Find Midorie on Coconut Grove's Main Highway and photograph the greenest corner you can find.</t>
        </is>
      </c>
      <c r="N14" s="11" t="inlineStr">
        <is>
          <t>Give your photo an art-gallery title and announce it out loud.</t>
        </is>
      </c>
      <c r="O14" s="11" t="inlineStr">
        <is>
          <t>'Midori' is Japanese for green — and this Main Highway spot sits in Miami's greenest neighborhood. Step inside and decide for yourself whether the name fits.</t>
        </is>
      </c>
      <c r="P14" s="7" t="inlineStr">
        <is>
          <t>active</t>
        </is>
      </c>
      <c r="Q14" s="9" t="inlineStr">
        <is>
          <t>Website</t>
        </is>
      </c>
      <c r="R14" s="9" t="inlineStr">
        <is>
          <t>Google Reviews</t>
        </is>
      </c>
      <c r="S14" s="6" t="inlineStr">
        <is>
          <t>google</t>
        </is>
      </c>
      <c r="T14" s="9" t="inlineStr">
        <is>
          <t>Instagram</t>
        </is>
      </c>
      <c r="U14" s="6" t="inlineStr">
        <is>
          <t>other</t>
        </is>
      </c>
      <c r="V14" s="6" t="inlineStr">
        <is>
          <t>MIDORIE-COCONUT-GROVE</t>
        </is>
      </c>
      <c r="W14" s="6" t="inlineStr">
        <is>
          <t>/q/f83fafee-9d6f-5c55-99f2-cf2df2fa9c51</t>
        </is>
      </c>
      <c r="X14" s="12" t="inlineStr">
        <is>
          <t>Needs Sourcing</t>
        </is>
      </c>
      <c r="Y14" s="12" t="inlineStr">
        <is>
          <t>Needs Sourcing</t>
        </is>
      </c>
    </row>
    <row r="15" ht="34" customHeight="1">
      <c r="A15" s="13" t="inlineStr">
        <is>
          <t>12c8638e-fe85-540f-8160-72c32394f39d</t>
        </is>
      </c>
      <c r="B15" s="13" t="inlineStr">
        <is>
          <t>3d95c2c5-f123-51bf-b4b4-97f6747503f9</t>
        </is>
      </c>
      <c r="C15" s="13" t="inlineStr">
        <is>
          <t>0c3a609b-ca93-5a1f-bc05-cbe8f0ebb0dc</t>
        </is>
      </c>
      <c r="D15" s="13" t="inlineStr">
        <is>
          <t>regatta-harbour-coconut-grove</t>
        </is>
      </c>
      <c r="E15" s="13" t="inlineStr">
        <is>
          <t>Dinner Key Discovery</t>
        </is>
      </c>
      <c r="F15" s="13" t="inlineStr">
        <is>
          <t>Regatta Harbour</t>
        </is>
      </c>
      <c r="G15" s="13" t="inlineStr">
        <is>
          <t>Regatta Harbour</t>
        </is>
      </c>
      <c r="H15" s="13" t="inlineStr">
        <is>
          <t>outdoors</t>
        </is>
      </c>
      <c r="I15" s="13" t="inlineStr">
        <is>
          <t>medium</t>
        </is>
      </c>
      <c r="J15" s="16" t="n">
        <v>150</v>
      </c>
      <c r="K15" s="16" t="n">
        <v>75</v>
      </c>
      <c r="L15" s="13" t="inlineStr">
        <is>
          <t>10–15 min</t>
        </is>
      </c>
      <c r="M15" s="17" t="inlineStr">
        <is>
          <t>Explore Regatta Harbour and photograph the spot where the Grove meets the water — boats required in frame.</t>
        </is>
      </c>
      <c r="N15" s="17" t="inlineStr">
        <is>
          <t>Pick the boat you'd captain and christen it out loud with a brand-new name.</t>
        </is>
      </c>
      <c r="O15" s="17" t="inlineStr">
        <is>
          <t>Coconut Grove's waterfront hub on historic Dinner Key — marina, dining and bay breeze run by people who clearly understand what the Grove is for. Come watch the masts sway.</t>
        </is>
      </c>
      <c r="P15" s="7" t="inlineStr">
        <is>
          <t>active</t>
        </is>
      </c>
      <c r="Q15" s="15" t="inlineStr">
        <is>
          <t>Website</t>
        </is>
      </c>
      <c r="R15" s="15" t="inlineStr">
        <is>
          <t>Google Reviews</t>
        </is>
      </c>
      <c r="S15" s="13" t="inlineStr">
        <is>
          <t>google</t>
        </is>
      </c>
      <c r="T15" s="15" t="inlineStr">
        <is>
          <t>Instagram</t>
        </is>
      </c>
      <c r="U15" s="13" t="inlineStr">
        <is>
          <t>other</t>
        </is>
      </c>
      <c r="V15" s="13" t="inlineStr">
        <is>
          <t>REGATTA-HARBOUR-COCONUT-GROVE</t>
        </is>
      </c>
      <c r="W15" s="13" t="inlineStr">
        <is>
          <t>/q/12c8638e-fe85-540f-8160-72c32394f39d</t>
        </is>
      </c>
      <c r="X15" s="12" t="inlineStr">
        <is>
          <t>Needs Sourcing</t>
        </is>
      </c>
      <c r="Y15" s="12" t="inlineStr">
        <is>
          <t>Needs Sourcing</t>
        </is>
      </c>
    </row>
    <row r="16" ht="49" customHeight="1">
      <c r="A16" s="6" t="inlineStr">
        <is>
          <t>517557a0-c5f4-5b89-8dae-0846ab1831d4</t>
        </is>
      </c>
      <c r="B16" s="6" t="inlineStr">
        <is>
          <t>1e79560c-2d8c-581f-9e0a-3b82891975e3</t>
        </is>
      </c>
      <c r="C16" s="6" t="inlineStr">
        <is>
          <t>36c08d29-1d66-5b07-922e-847467d4fa43</t>
        </is>
      </c>
      <c r="D16" s="6" t="inlineStr">
        <is>
          <t>the-kampong-coconut-grove</t>
        </is>
      </c>
      <c r="E16" s="6" t="inlineStr">
        <is>
          <t>The Secret Garden of the Grove</t>
        </is>
      </c>
      <c r="F16" s="6" t="inlineStr">
        <is>
          <t>The Kampong (National Tropical Botanical Garden)</t>
        </is>
      </c>
      <c r="G16" s="6" t="inlineStr">
        <is>
          <t>The Kampong</t>
        </is>
      </c>
      <c r="H16" s="6" t="inlineStr">
        <is>
          <t>outdoors</t>
        </is>
      </c>
      <c r="I16" s="6" t="inlineStr">
        <is>
          <t>medium</t>
        </is>
      </c>
      <c r="J16" s="10" t="n">
        <v>150</v>
      </c>
      <c r="K16" s="10" t="n">
        <v>75</v>
      </c>
      <c r="L16" s="6" t="inlineStr">
        <is>
          <t>15–20 min</t>
        </is>
      </c>
      <c r="M16" s="11" t="inlineStr">
        <is>
          <t>Explore The Kampong's grounds and photograph the tree or plant that looks most like it escaped from a storybook.</t>
        </is>
      </c>
      <c r="N16" s="11" t="inlineStr">
        <is>
          <t>Learn one plant's name before you leave and formally introduce it to your group.</t>
        </is>
      </c>
      <c r="O16" s="11" t="inlineStr">
        <is>
          <t>A historic Coconut Grove estate that became one of only five gardens in the National Tropical Botanical Garden network. Most of its cousins are in Hawaii; this one hides behind Douglas Road.</t>
        </is>
      </c>
      <c r="P16" s="7" t="inlineStr">
        <is>
          <t>active</t>
        </is>
      </c>
      <c r="Q16" s="9" t="inlineStr">
        <is>
          <t>Website</t>
        </is>
      </c>
      <c r="R16" s="9" t="inlineStr">
        <is>
          <t>Google Reviews</t>
        </is>
      </c>
      <c r="S16" s="6" t="inlineStr">
        <is>
          <t>google</t>
        </is>
      </c>
      <c r="T16" s="9" t="inlineStr">
        <is>
          <t>Instagram</t>
        </is>
      </c>
      <c r="U16" s="6" t="inlineStr">
        <is>
          <t>other</t>
        </is>
      </c>
      <c r="V16" s="6" t="inlineStr">
        <is>
          <t>THE-KAMPONG-COCONUT-GROVE</t>
        </is>
      </c>
      <c r="W16" s="6" t="inlineStr">
        <is>
          <t>/q/517557a0-c5f4-5b89-8dae-0846ab1831d4</t>
        </is>
      </c>
      <c r="X16" s="12" t="inlineStr">
        <is>
          <t>Needs Sourcing</t>
        </is>
      </c>
      <c r="Y16" s="12" t="inlineStr">
        <is>
          <t>Needs Sourcing</t>
        </is>
      </c>
    </row>
    <row r="17" ht="49" customHeight="1">
      <c r="A17" s="13" t="inlineStr">
        <is>
          <t>1289e7fc-a10a-5f27-abda-c1e52cc67b09</t>
        </is>
      </c>
      <c r="B17" s="13" t="inlineStr">
        <is>
          <t>421f85f6-07e7-5392-8ef6-ded4d17e1021</t>
        </is>
      </c>
      <c r="C17" s="13" t="inlineStr">
        <is>
          <t>617044a3-282a-5211-bf44-49065ab56969</t>
        </is>
      </c>
      <c r="D17" s="13" t="inlineStr">
        <is>
          <t>bachour-coral-gables</t>
        </is>
      </c>
      <c r="E17" s="13" t="inlineStr">
        <is>
          <t>The Pastry Michelin Knows</t>
        </is>
      </c>
      <c r="F17" s="13" t="inlineStr">
        <is>
          <t>Bachour Coral Gables</t>
        </is>
      </c>
      <c r="G17" s="13" t="inlineStr">
        <is>
          <t>Bachour</t>
        </is>
      </c>
      <c r="H17" s="13" t="inlineStr">
        <is>
          <t>food</t>
        </is>
      </c>
      <c r="I17" s="13" t="inlineStr">
        <is>
          <t>easy</t>
        </is>
      </c>
      <c r="J17" s="16" t="n">
        <v>50</v>
      </c>
      <c r="K17" s="16" t="n">
        <v>25</v>
      </c>
      <c r="L17" s="13" t="inlineStr">
        <is>
          <t>5–10 min</t>
        </is>
      </c>
      <c r="M17" s="17" t="inlineStr">
        <is>
          <t>Find Bachour on Salzedo St and photograph the pastry display — then pick the one you'd personally award a star.</t>
        </is>
      </c>
      <c r="N17" s="17" t="inlineStr">
        <is>
          <t>Announce your winner with a full chef's kiss. Mwah.</t>
        </is>
      </c>
      <c r="O17" s="17" t="inlineStr">
        <is>
          <t>Chef Antonio Bachour's Coral Gables bakery-restaurant carries a Michelin Bib Gourmand — the guide's nod for cooking that seriously over-delivers. The pastry display is the gallery; you're the jury.</t>
        </is>
      </c>
      <c r="P17" s="7" t="inlineStr">
        <is>
          <t>active</t>
        </is>
      </c>
      <c r="Q17" s="15" t="inlineStr">
        <is>
          <t>Website</t>
        </is>
      </c>
      <c r="R17" s="15" t="inlineStr">
        <is>
          <t>Google Reviews</t>
        </is>
      </c>
      <c r="S17" s="13" t="inlineStr">
        <is>
          <t>yelp</t>
        </is>
      </c>
      <c r="T17" s="15" t="inlineStr">
        <is>
          <t>Instagram</t>
        </is>
      </c>
      <c r="U17" s="13" t="inlineStr">
        <is>
          <t>other</t>
        </is>
      </c>
      <c r="V17" s="13" t="inlineStr">
        <is>
          <t>BACHOUR-CORAL-GABLES</t>
        </is>
      </c>
      <c r="W17" s="13" t="inlineStr">
        <is>
          <t>/q/1289e7fc-a10a-5f27-abda-c1e52cc67b09</t>
        </is>
      </c>
      <c r="X17" s="12" t="inlineStr">
        <is>
          <t>Needs Sourcing</t>
        </is>
      </c>
      <c r="Y17" s="12" t="inlineStr">
        <is>
          <t>Needs Sourcing</t>
        </is>
      </c>
    </row>
    <row r="18" ht="34" customHeight="1">
      <c r="A18" s="6" t="inlineStr">
        <is>
          <t>7dd057e2-0f2d-5315-8ec9-57bb715c0773</t>
        </is>
      </c>
      <c r="B18" s="6" t="inlineStr">
        <is>
          <t>3a4cc420-5ef9-5972-87f2-0b19eb5bea6b</t>
        </is>
      </c>
      <c r="C18" s="6" t="inlineStr">
        <is>
          <t>410e40e4-eaec-57a2-948f-5a54e18284f0</t>
        </is>
      </c>
      <c r="D18" s="6" t="inlineStr">
        <is>
          <t>books-and-books-coral-gables</t>
        </is>
      </c>
      <c r="E18" s="6" t="inlineStr">
        <is>
          <t>Shelf Discovery</t>
        </is>
      </c>
      <c r="F18" s="6" t="inlineStr">
        <is>
          <t>Books &amp; Books - Coral Gables</t>
        </is>
      </c>
      <c r="G18" s="6" t="inlineStr">
        <is>
          <t>Books &amp; Books</t>
        </is>
      </c>
      <c r="H18" s="6" t="inlineStr">
        <is>
          <t>culture</t>
        </is>
      </c>
      <c r="I18" s="6" t="inlineStr">
        <is>
          <t>medium</t>
        </is>
      </c>
      <c r="J18" s="10" t="n">
        <v>150</v>
      </c>
      <c r="K18" s="10" t="n">
        <v>75</v>
      </c>
      <c r="L18" s="6" t="inlineStr">
        <is>
          <t>10–15 min</t>
        </is>
      </c>
      <c r="M18" s="11" t="inlineStr">
        <is>
          <t>Wander the flagship's shelves and find one book you'd never have discovered online. Photograph the cover where you found it.</t>
        </is>
      </c>
      <c r="N18" s="11" t="inlineStr">
        <is>
          <t>Read your find's first sentence out loud to whoever came with you.</t>
        </is>
      </c>
      <c r="O18" s="11" t="inlineStr">
        <is>
          <t>Miami's iconic independent bookstore has anchored Coral Gables since 1982. Algorithms recommend what you already like — these shelves recommend what you didn't know existed.</t>
        </is>
      </c>
      <c r="P18" s="7" t="inlineStr">
        <is>
          <t>active</t>
        </is>
      </c>
      <c r="Q18" s="9" t="inlineStr">
        <is>
          <t>Website</t>
        </is>
      </c>
      <c r="R18" s="9" t="inlineStr">
        <is>
          <t>Google Reviews</t>
        </is>
      </c>
      <c r="S18" s="6" t="inlineStr">
        <is>
          <t>google</t>
        </is>
      </c>
      <c r="T18" s="9" t="inlineStr">
        <is>
          <t>Instagram</t>
        </is>
      </c>
      <c r="U18" s="6" t="inlineStr">
        <is>
          <t>other</t>
        </is>
      </c>
      <c r="V18" s="6" t="inlineStr">
        <is>
          <t>BOOKS-AND-BOOKS-CORAL-GABLES</t>
        </is>
      </c>
      <c r="W18" s="6" t="inlineStr">
        <is>
          <t>/q/7dd057e2-0f2d-5315-8ec9-57bb715c0773</t>
        </is>
      </c>
      <c r="X18" s="12" t="inlineStr">
        <is>
          <t>Needs Sourcing</t>
        </is>
      </c>
      <c r="Y18" s="12" t="inlineStr">
        <is>
          <t>Needs Sourcing</t>
        </is>
      </c>
    </row>
    <row r="19" ht="49" customHeight="1">
      <c r="A19" s="13" t="inlineStr">
        <is>
          <t>7eebe307-0a32-5996-9258-2068eae3df78</t>
        </is>
      </c>
      <c r="B19" s="13" t="inlineStr">
        <is>
          <t>f676da93-90c5-5a46-9e9d-c07d8d721b17</t>
        </is>
      </c>
      <c r="C19" s="13" t="inlineStr">
        <is>
          <t>111a4bb7-ae6b-574d-b49b-f742f1d7a1b4</t>
        </is>
      </c>
      <c r="D19" s="13" t="inlineStr">
        <is>
          <t>coral-gables-congregational-church</t>
        </is>
      </c>
      <c r="E19" s="13" t="inlineStr">
        <is>
          <t>The Landmark Across the Way</t>
        </is>
      </c>
      <c r="F19" s="13" t="inlineStr">
        <is>
          <t>Coral Gables Congregational United Church of Christ</t>
        </is>
      </c>
      <c r="G19" s="13" t="inlineStr">
        <is>
          <t>Coral Gables Congregational United Church of Christ</t>
        </is>
      </c>
      <c r="H19" s="13" t="inlineStr">
        <is>
          <t>culture</t>
        </is>
      </c>
      <c r="I19" s="13" t="inlineStr">
        <is>
          <t>easy</t>
        </is>
      </c>
      <c r="J19" s="16" t="n">
        <v>50</v>
      </c>
      <c r="K19" s="16" t="n">
        <v>25</v>
      </c>
      <c r="L19" s="13" t="inlineStr">
        <is>
          <t>5–10 min</t>
        </is>
      </c>
      <c r="M19" s="17" t="inlineStr">
        <is>
          <t>Find the church on De Soto Blvd and photograph your favorite Mediterranean Revival detail of the building.</t>
        </is>
      </c>
      <c r="N19" s="17" t="inlineStr">
        <is>
          <t>Bonus challenge: frame the church and the Biltmore in a single shot.</t>
        </is>
      </c>
      <c r="O19" s="17" t="inlineStr">
        <is>
          <t>A Mediterranean Revival landmark on the National Register of Historic Places, standing directly across from the Biltmore. One of Coral Gables' founding-era beauties — and most people drive right past it.</t>
        </is>
      </c>
      <c r="P19" s="7" t="inlineStr">
        <is>
          <t>active</t>
        </is>
      </c>
      <c r="Q19" s="15" t="inlineStr">
        <is>
          <t>Website</t>
        </is>
      </c>
      <c r="R19" s="15" t="inlineStr">
        <is>
          <t>Google Reviews</t>
        </is>
      </c>
      <c r="S19" s="13" t="inlineStr">
        <is>
          <t>google</t>
        </is>
      </c>
      <c r="T19" s="15" t="inlineStr">
        <is>
          <t>Instagram</t>
        </is>
      </c>
      <c r="U19" s="13" t="inlineStr">
        <is>
          <t>other</t>
        </is>
      </c>
      <c r="V19" s="13" t="inlineStr">
        <is>
          <t>CORAL-GABLES-CONGREGATIONAL-CHURCH</t>
        </is>
      </c>
      <c r="W19" s="13" t="inlineStr">
        <is>
          <t>/q/7eebe307-0a32-5996-9258-2068eae3df78</t>
        </is>
      </c>
      <c r="X19" s="12" t="inlineStr">
        <is>
          <t>Needs Sourcing</t>
        </is>
      </c>
      <c r="Y19" s="12" t="inlineStr">
        <is>
          <t>Needs Sourcing</t>
        </is>
      </c>
    </row>
    <row r="20" ht="34" customHeight="1">
      <c r="A20" s="6" t="inlineStr">
        <is>
          <t>6ce551ac-e782-5f2d-9078-0dc88fa4db72</t>
        </is>
      </c>
      <c r="B20" s="6" t="inlineStr">
        <is>
          <t>861e0c2e-4010-584e-bab5-42fc8eea9403</t>
        </is>
      </c>
      <c r="C20" s="6" t="inlineStr">
        <is>
          <t>06b8dc6d-d62d-5853-87de-600cf264d3d2</t>
        </is>
      </c>
      <c r="D20" s="6" t="inlineStr">
        <is>
          <t>giralda-plaza</t>
        </is>
      </c>
      <c r="E20" s="6" t="inlineStr">
        <is>
          <t>The Pedestrian's Feast</t>
        </is>
      </c>
      <c r="F20" s="6" t="inlineStr">
        <is>
          <t>Giralda Plaza</t>
        </is>
      </c>
      <c r="G20" s="6" t="inlineStr">
        <is>
          <t>Giralda Plaza</t>
        </is>
      </c>
      <c r="H20" s="6" t="inlineStr">
        <is>
          <t>food</t>
        </is>
      </c>
      <c r="I20" s="6" t="inlineStr">
        <is>
          <t>easy</t>
        </is>
      </c>
      <c r="J20" s="10" t="n">
        <v>50</v>
      </c>
      <c r="K20" s="10" t="n">
        <v>25</v>
      </c>
      <c r="L20" s="6" t="inlineStr">
        <is>
          <t>5–10 min</t>
        </is>
      </c>
      <c r="M20" s="11" t="inlineStr">
        <is>
          <t>Stroll pedestrian-only Giralda Plaza end to end and photograph the table you'd claim on a Friday night.</t>
        </is>
      </c>
      <c r="N20" s="11" t="inlineStr">
        <is>
          <t>Rate the plaza's people-watching out of ten. Out loud.</t>
        </is>
      </c>
      <c r="O20" s="11" t="inlineStr">
        <is>
          <t>Coral Gables closed this block of Giralda Avenue to cars in 2017 and handed it to dinner tables. It's downtown's open-air dining room — walk it slow.</t>
        </is>
      </c>
      <c r="P20" s="7" t="inlineStr">
        <is>
          <t>active</t>
        </is>
      </c>
      <c r="Q20" s="9" t="inlineStr">
        <is>
          <t>Website</t>
        </is>
      </c>
      <c r="R20" s="9" t="inlineStr">
        <is>
          <t>Google Reviews</t>
        </is>
      </c>
      <c r="S20" s="6" t="inlineStr">
        <is>
          <t>google</t>
        </is>
      </c>
      <c r="T20" s="9" t="inlineStr">
        <is>
          <t>Instagram</t>
        </is>
      </c>
      <c r="U20" s="6" t="inlineStr">
        <is>
          <t>other</t>
        </is>
      </c>
      <c r="V20" s="6" t="inlineStr">
        <is>
          <t>GIRALDA-PLAZA</t>
        </is>
      </c>
      <c r="W20" s="6" t="inlineStr">
        <is>
          <t>/q/6ce551ac-e782-5f2d-9078-0dc88fa4db72</t>
        </is>
      </c>
      <c r="X20" s="12" t="inlineStr">
        <is>
          <t>Needs Sourcing</t>
        </is>
      </c>
      <c r="Y20" s="12" t="inlineStr">
        <is>
          <t>Needs Sourcing</t>
        </is>
      </c>
    </row>
    <row r="21" ht="34" customHeight="1">
      <c r="A21" s="13" t="inlineStr">
        <is>
          <t>ef37220b-c1f4-578a-b0cc-2bbe3b575fb4</t>
        </is>
      </c>
      <c r="B21" s="13" t="inlineStr">
        <is>
          <t>ff8d6a60-1390-586c-89ed-06b9c7cea515</t>
        </is>
      </c>
      <c r="C21" s="13" t="inlineStr">
        <is>
          <t>a20285f9-cb39-5da1-8882-a597e5158d0c</t>
        </is>
      </c>
      <c r="D21" s="13" t="inlineStr">
        <is>
          <t>miracle-mile-coral-gables</t>
        </is>
      </c>
      <c r="E21" s="13" t="inlineStr">
        <is>
          <t>The Half-Mile Miracle</t>
        </is>
      </c>
      <c r="F21" s="13" t="inlineStr">
        <is>
          <t>Miracle Mile</t>
        </is>
      </c>
      <c r="G21" s="13" t="inlineStr">
        <is>
          <t>Miracle Mile</t>
        </is>
      </c>
      <c r="H21" s="13" t="inlineStr">
        <is>
          <t>shopping</t>
        </is>
      </c>
      <c r="I21" s="13" t="inlineStr">
        <is>
          <t>easy</t>
        </is>
      </c>
      <c r="J21" s="16" t="n">
        <v>50</v>
      </c>
      <c r="K21" s="16" t="n">
        <v>25</v>
      </c>
      <c r="L21" s="13" t="inlineStr">
        <is>
          <t>15–20 min</t>
        </is>
      </c>
      <c r="M21" s="17" t="inlineStr">
        <is>
          <t>Walk Miracle Mile from one end to the other and photograph your favorite storefront along the way.</t>
        </is>
      </c>
      <c r="N21" s="17" t="inlineStr">
        <is>
          <t>Deliver your verdict in a Community Note: does it earn the name 'Miracle'?</t>
        </is>
      </c>
      <c r="O21" s="17" t="inlineStr">
        <is>
          <t>Coral Gables' signature stretch of Coral Way — half a mile of storefronts with a very confident name. Walk it end to end and issue your own verdict.</t>
        </is>
      </c>
      <c r="P21" s="7" t="inlineStr">
        <is>
          <t>active</t>
        </is>
      </c>
      <c r="Q21" s="15" t="inlineStr">
        <is>
          <t>Website</t>
        </is>
      </c>
      <c r="R21" s="15" t="inlineStr">
        <is>
          <t>Google Reviews</t>
        </is>
      </c>
      <c r="S21" s="13" t="inlineStr">
        <is>
          <t>google</t>
        </is>
      </c>
      <c r="T21" s="15" t="inlineStr">
        <is>
          <t>Instagram</t>
        </is>
      </c>
      <c r="U21" s="13" t="inlineStr">
        <is>
          <t>other</t>
        </is>
      </c>
      <c r="V21" s="13" t="inlineStr">
        <is>
          <t>MIRACLE-MILE-CORAL-GABLES</t>
        </is>
      </c>
      <c r="W21" s="13" t="inlineStr">
        <is>
          <t>/q/ef37220b-c1f4-578a-b0cc-2bbe3b575fb4</t>
        </is>
      </c>
      <c r="X21" s="12" t="inlineStr">
        <is>
          <t>Needs Sourcing</t>
        </is>
      </c>
      <c r="Y21" s="12" t="inlineStr">
        <is>
          <t>Needs Sourcing</t>
        </is>
      </c>
    </row>
    <row r="22" ht="34" customHeight="1">
      <c r="A22" s="6" t="inlineStr">
        <is>
          <t>ee11a99b-d812-5e8e-a97c-1b6b4c264c22</t>
        </is>
      </c>
      <c r="B22" s="6" t="inlineStr">
        <is>
          <t>4242b29b-7284-5d29-bb03-68ba09909251</t>
        </is>
      </c>
      <c r="C22" s="6" t="inlineStr">
        <is>
          <t>54a6f74c-377f-5032-a65f-022be3d507fd</t>
        </is>
      </c>
      <c r="D22" s="6" t="inlineStr">
        <is>
          <t>fairchild-tropical-garden</t>
        </is>
      </c>
      <c r="E22" s="6" t="inlineStr">
        <is>
          <t>Rainforest Within the Garden</t>
        </is>
      </c>
      <c r="F22" s="6" t="inlineStr">
        <is>
          <t>Richard H. Simons Rainforest at Fairchild Tropical Botanic Garden</t>
        </is>
      </c>
      <c r="G22" s="6" t="inlineStr">
        <is>
          <t>Fairchild Tropical Botanic Garden</t>
        </is>
      </c>
      <c r="H22" s="6" t="inlineStr">
        <is>
          <t>outdoors</t>
        </is>
      </c>
      <c r="I22" s="6" t="inlineStr">
        <is>
          <t>medium</t>
        </is>
      </c>
      <c r="J22" s="10" t="n">
        <v>150</v>
      </c>
      <c r="K22" s="10" t="n">
        <v>75</v>
      </c>
      <c r="L22" s="6" t="inlineStr">
        <is>
          <t>15–20 min</t>
        </is>
      </c>
      <c r="M22" s="11" t="inlineStr">
        <is>
          <t>Find the Simons Rainforest inside Fairchild and photograph the waterfall tucked within it.</t>
        </is>
      </c>
      <c r="N22" s="11" t="inlineStr">
        <is>
          <t>Narrate what you see in your best nature-documentary whisper.</t>
        </is>
      </c>
      <c r="O22" s="11" t="inlineStr">
        <is>
          <t>Inside Fairchild's 83 acres hides the Richard H. Simons Rainforest — two acres of canopy, streams and a waterfall, growing since 2001. A rainforest, inside a garden, inside Miami.</t>
        </is>
      </c>
      <c r="P22" s="7" t="inlineStr">
        <is>
          <t>active</t>
        </is>
      </c>
      <c r="Q22" s="9" t="inlineStr">
        <is>
          <t>Website</t>
        </is>
      </c>
      <c r="R22" s="9" t="inlineStr">
        <is>
          <t>Google Reviews</t>
        </is>
      </c>
      <c r="S22" s="6" t="inlineStr">
        <is>
          <t>google</t>
        </is>
      </c>
      <c r="T22" s="9" t="inlineStr">
        <is>
          <t>Instagram</t>
        </is>
      </c>
      <c r="U22" s="6" t="inlineStr">
        <is>
          <t>other</t>
        </is>
      </c>
      <c r="V22" s="6" t="inlineStr">
        <is>
          <t>FAIRCHILD-TROPICAL-GARDEN</t>
        </is>
      </c>
      <c r="W22" s="6" t="inlineStr">
        <is>
          <t>/q/ee11a99b-d812-5e8e-a97c-1b6b4c264c22</t>
        </is>
      </c>
      <c r="X22" s="12" t="inlineStr">
        <is>
          <t>Needs Sourcing</t>
        </is>
      </c>
      <c r="Y22" s="12" t="inlineStr">
        <is>
          <t>Needs Sourcing</t>
        </is>
      </c>
    </row>
    <row r="23" ht="49" customHeight="1">
      <c r="A23" s="13" t="inlineStr">
        <is>
          <t>75761f77-6be2-5a33-b815-582044bc20c8</t>
        </is>
      </c>
      <c r="B23" s="13" t="inlineStr">
        <is>
          <t>88f4b8a6-e1c4-5417-97fb-a8511c54319f</t>
        </is>
      </c>
      <c r="C23" s="13" t="inlineStr">
        <is>
          <t>38947068-093a-5074-8308-fb73e9368cb7</t>
        </is>
      </c>
      <c r="D23" s="13" t="inlineStr">
        <is>
          <t>threefold-cafe-coral-gables</t>
        </is>
      </c>
      <c r="E23" s="13" t="inlineStr">
        <is>
          <t>Down Under on Giralda</t>
        </is>
      </c>
      <c r="F23" s="13" t="inlineStr">
        <is>
          <t>Threefold Cafe</t>
        </is>
      </c>
      <c r="G23" s="13" t="inlineStr">
        <is>
          <t>Threefold Cafe</t>
        </is>
      </c>
      <c r="H23" s="13" t="inlineStr">
        <is>
          <t>food</t>
        </is>
      </c>
      <c r="I23" s="13" t="inlineStr">
        <is>
          <t>easy</t>
        </is>
      </c>
      <c r="J23" s="16" t="n">
        <v>50</v>
      </c>
      <c r="K23" s="16" t="n">
        <v>25</v>
      </c>
      <c r="L23" s="13" t="inlineStr">
        <is>
          <t>5–10 min</t>
        </is>
      </c>
      <c r="M23" s="17" t="inlineStr">
        <is>
          <t>Find Threefold on Giralda Ave and spot one unmistakably Australian touch on the menu or in the room.</t>
        </is>
      </c>
      <c r="N23" s="17" t="inlineStr">
        <is>
          <t>Say 'flat white' in your best Australian accent — ordering one is entirely optional.</t>
        </is>
      </c>
      <c r="O23" s="17" t="inlineStr">
        <is>
          <t>Nick and Teresa brought Australian café culture to Coral Gables in 2014, and Giralda Avenue hasn't been the same since. Come find the Aussie accent hiding on a Spanish-named street.</t>
        </is>
      </c>
      <c r="P23" s="7" t="inlineStr">
        <is>
          <t>active</t>
        </is>
      </c>
      <c r="Q23" s="15" t="inlineStr">
        <is>
          <t>Website</t>
        </is>
      </c>
      <c r="R23" s="15" t="inlineStr">
        <is>
          <t>Google Reviews</t>
        </is>
      </c>
      <c r="S23" s="13" t="inlineStr">
        <is>
          <t>google</t>
        </is>
      </c>
      <c r="T23" s="15" t="inlineStr">
        <is>
          <t>Instagram</t>
        </is>
      </c>
      <c r="U23" s="13" t="inlineStr">
        <is>
          <t>other</t>
        </is>
      </c>
      <c r="V23" s="13" t="inlineStr">
        <is>
          <t>THREEFOLD-CAFE-CORAL-GABLES</t>
        </is>
      </c>
      <c r="W23" s="13" t="inlineStr">
        <is>
          <t>/q/75761f77-6be2-5a33-b815-582044bc20c8</t>
        </is>
      </c>
      <c r="X23" s="12" t="inlineStr">
        <is>
          <t>Needs Sourcing</t>
        </is>
      </c>
      <c r="Y23" s="12" t="inlineStr">
        <is>
          <t>Needs Sourcing</t>
        </is>
      </c>
    </row>
    <row r="24" ht="49" customHeight="1">
      <c r="A24" s="6" t="inlineStr">
        <is>
          <t>fb12d6c3-465f-5130-9aa9-d06d87e2a182</t>
        </is>
      </c>
      <c r="B24" s="6" t="inlineStr">
        <is>
          <t>bc413e35-329b-5329-ad1e-f2a22d5cf2e4</t>
        </is>
      </c>
      <c r="C24" s="6" t="inlineStr">
        <is>
          <t>6c739246-f141-592a-b037-fa7e59f617cc</t>
        </is>
      </c>
      <c r="D24" s="6" t="inlineStr">
        <is>
          <t>el-carajo-coral-way</t>
        </is>
      </c>
      <c r="E24" s="6" t="inlineStr">
        <is>
          <t>Fill Up on Tapas</t>
        </is>
      </c>
      <c r="F24" s="6" t="inlineStr">
        <is>
          <t>El Carajo</t>
        </is>
      </c>
      <c r="G24" s="6" t="inlineStr">
        <is>
          <t>El Carajo International Tapas &amp; Wine</t>
        </is>
      </c>
      <c r="H24" s="6" t="inlineStr">
        <is>
          <t>hidden_gem</t>
        </is>
      </c>
      <c r="I24" s="6" t="inlineStr">
        <is>
          <t>medium</t>
        </is>
      </c>
      <c r="J24" s="10" t="n">
        <v>150</v>
      </c>
      <c r="K24" s="10" t="n">
        <v>75</v>
      </c>
      <c r="L24" s="6" t="inlineStr">
        <is>
          <t>10–15 min</t>
        </is>
      </c>
      <c r="M24" s="11" t="inlineStr">
        <is>
          <t>Walk past the gas pumps and find the tapas-and-wine restaurant hiding inside. Photograph the exact spot where gas station turns into Spain.</t>
        </is>
      </c>
      <c r="N24" s="11" t="inlineStr">
        <is>
          <t>Text a friend 'I'm at a gas station,' then send your photo with zero explanation.</t>
        </is>
      </c>
      <c r="O24" s="11" t="inlineStr">
        <is>
          <t>From the street it's a working Mobil gas station. Inside, since 1981, it's been a Spanish tapas and wine destination. This is the most Miami plot twist on Coral Way — and one of the city's great hidden doors.</t>
        </is>
      </c>
      <c r="P24" s="7" t="inlineStr">
        <is>
          <t>active</t>
        </is>
      </c>
      <c r="Q24" s="9" t="inlineStr">
        <is>
          <t>Website</t>
        </is>
      </c>
      <c r="R24" s="9" t="inlineStr">
        <is>
          <t>Google Reviews</t>
        </is>
      </c>
      <c r="S24" s="6" t="inlineStr">
        <is>
          <t>google</t>
        </is>
      </c>
      <c r="T24" s="9" t="inlineStr">
        <is>
          <t>Instagram</t>
        </is>
      </c>
      <c r="U24" s="6" t="inlineStr">
        <is>
          <t>other</t>
        </is>
      </c>
      <c r="V24" s="6" t="inlineStr">
        <is>
          <t>EL-CARAJO-CORAL-WAY</t>
        </is>
      </c>
      <c r="W24" s="6" t="inlineStr">
        <is>
          <t>/q/fb12d6c3-465f-5130-9aa9-d06d87e2a182</t>
        </is>
      </c>
      <c r="X24" s="12" t="inlineStr">
        <is>
          <t>Needs Sourcing</t>
        </is>
      </c>
      <c r="Y24" s="12" t="inlineStr">
        <is>
          <t>Needs Sourcing</t>
        </is>
      </c>
    </row>
    <row r="25" ht="49" customHeight="1">
      <c r="A25" s="13" t="inlineStr">
        <is>
          <t>e73d0b6d-92ad-5e5b-9c54-f2a61257fec0</t>
        </is>
      </c>
      <c r="B25" s="13" t="inlineStr">
        <is>
          <t>4d32f895-875b-538f-b5a7-dd53a7f0fc7f</t>
        </is>
      </c>
      <c r="C25" s="13" t="inlineStr">
        <is>
          <t>ae760d8b-3bca-5a36-bc31-a602bad4b7d4</t>
        </is>
      </c>
      <c r="D25" s="13" t="inlineStr">
        <is>
          <t>dale-zine-design-district</t>
        </is>
      </c>
      <c r="E25" s="13" t="inlineStr">
        <is>
          <t>Small Press, Big Energy</t>
        </is>
      </c>
      <c r="F25" s="13" t="inlineStr">
        <is>
          <t>Dale Zine Shop</t>
        </is>
      </c>
      <c r="G25" s="13" t="inlineStr">
        <is>
          <t>Dale Zine</t>
        </is>
      </c>
      <c r="H25" s="13" t="inlineStr">
        <is>
          <t>art</t>
        </is>
      </c>
      <c r="I25" s="13" t="inlineStr">
        <is>
          <t>easy</t>
        </is>
      </c>
      <c r="J25" s="16" t="n">
        <v>50</v>
      </c>
      <c r="K25" s="16" t="n">
        <v>25</v>
      </c>
      <c r="L25" s="13" t="inlineStr">
        <is>
          <t>10–15 min</t>
        </is>
      </c>
      <c r="M25" s="17" t="inlineStr">
        <is>
          <t>Find Dale Zine's Design District home and browse until you find a zine you've never heard of. Photograph the cover.</t>
        </is>
      </c>
      <c r="N25" s="17" t="inlineStr">
        <is>
          <t>Greet the shop with a proper Miami 'dale!' on your way in.</t>
        </is>
      </c>
      <c r="O25" s="17" t="inlineStr">
        <is>
          <t>Miami's independent zine shop moved from Little River to the Design District in 2024, carrying its universe of small-press treasures with it. Every shelf is somebody's whole heart, photocopied.</t>
        </is>
      </c>
      <c r="P25" s="7" t="inlineStr">
        <is>
          <t>active</t>
        </is>
      </c>
      <c r="Q25" s="15" t="inlineStr">
        <is>
          <t>Website</t>
        </is>
      </c>
      <c r="R25" s="15" t="inlineStr">
        <is>
          <t>Google Reviews</t>
        </is>
      </c>
      <c r="S25" s="13" t="inlineStr">
        <is>
          <t>google</t>
        </is>
      </c>
      <c r="T25" s="15" t="inlineStr">
        <is>
          <t>Instagram</t>
        </is>
      </c>
      <c r="U25" s="13" t="inlineStr">
        <is>
          <t>other</t>
        </is>
      </c>
      <c r="V25" s="13" t="inlineStr">
        <is>
          <t>DALE-ZINE-DESIGN-DISTRICT</t>
        </is>
      </c>
      <c r="W25" s="13" t="inlineStr">
        <is>
          <t>/q/e73d0b6d-92ad-5e5b-9c54-f2a61257fec0</t>
        </is>
      </c>
      <c r="X25" s="12" t="inlineStr">
        <is>
          <t>Needs Sourcing</t>
        </is>
      </c>
      <c r="Y25" s="12" t="inlineStr">
        <is>
          <t>Needs Sourcing</t>
        </is>
      </c>
    </row>
    <row r="26" ht="34" customHeight="1">
      <c r="A26" s="6" t="inlineStr">
        <is>
          <t>26fad17b-865f-558e-a355-5c025c4ce02a</t>
        </is>
      </c>
      <c r="B26" s="6" t="inlineStr">
        <is>
          <t>defa0c13-d01c-5168-95ff-c256afb9a06b</t>
        </is>
      </c>
      <c r="C26" s="6" t="inlineStr">
        <is>
          <t>df3058d3-c3a4-5322-bdf2-2c5ed6bb64f8</t>
        </is>
      </c>
      <c r="D26" s="6" t="inlineStr">
        <is>
          <t>ica-miami</t>
        </is>
      </c>
      <c r="E26" s="6" t="inlineStr">
        <is>
          <t>Free Art, Big Ideas</t>
        </is>
      </c>
      <c r="F26" s="6" t="inlineStr">
        <is>
          <t>Institute of Contemporary Art, Miami</t>
        </is>
      </c>
      <c r="G26" s="6" t="inlineStr">
        <is>
          <t>Institute of Contemporary Art, Miami</t>
        </is>
      </c>
      <c r="H26" s="6" t="inlineStr">
        <is>
          <t>art</t>
        </is>
      </c>
      <c r="I26" s="6" t="inlineStr">
        <is>
          <t>medium</t>
        </is>
      </c>
      <c r="J26" s="10" t="n">
        <v>150</v>
      </c>
      <c r="K26" s="10" t="n">
        <v>75</v>
      </c>
      <c r="L26" s="6" t="inlineStr">
        <is>
          <t>15–20 min</t>
        </is>
      </c>
      <c r="M26" s="11" t="inlineStr">
        <is>
          <t>Walk in (it's free), explore a floor, and photograph the most wonderfully strange thing you find — where photos are allowed.</t>
        </is>
      </c>
      <c r="N26" s="11" t="inlineStr">
        <is>
          <t>Later, describe that piece to a friend in exactly five words.</t>
        </is>
      </c>
      <c r="O26" s="11" t="inlineStr">
        <is>
          <t>A contemporary art museum in the Design District where admission is always free — and the museum is growing into the buildings next door. Zero dollars, maximum strangeness.</t>
        </is>
      </c>
      <c r="P26" s="7" t="inlineStr">
        <is>
          <t>active</t>
        </is>
      </c>
      <c r="Q26" s="9" t="inlineStr">
        <is>
          <t>Website</t>
        </is>
      </c>
      <c r="R26" s="9" t="inlineStr">
        <is>
          <t>Google Reviews</t>
        </is>
      </c>
      <c r="S26" s="6" t="inlineStr">
        <is>
          <t>yelp</t>
        </is>
      </c>
      <c r="T26" s="9" t="inlineStr">
        <is>
          <t>Instagram</t>
        </is>
      </c>
      <c r="U26" s="6" t="inlineStr">
        <is>
          <t>other</t>
        </is>
      </c>
      <c r="V26" s="6" t="inlineStr">
        <is>
          <t>ICA-MIAMI</t>
        </is>
      </c>
      <c r="W26" s="6" t="inlineStr">
        <is>
          <t>/q/26fad17b-865f-558e-a355-5c025c4ce02a</t>
        </is>
      </c>
      <c r="X26" s="12" t="inlineStr">
        <is>
          <t>Needs Sourcing</t>
        </is>
      </c>
      <c r="Y26" s="12" t="inlineStr">
        <is>
          <t>Needs Sourcing</t>
        </is>
      </c>
    </row>
    <row r="27" ht="34" customHeight="1">
      <c r="A27" s="13" t="inlineStr">
        <is>
          <t>3a01d0e9-5bce-5fc4-88aa-8252bebe58a2</t>
        </is>
      </c>
      <c r="B27" s="13" t="inlineStr">
        <is>
          <t>3451f07f-6eb2-559e-871d-14faae13b003</t>
        </is>
      </c>
      <c r="C27" s="13" t="inlineStr">
        <is>
          <t>208abc78-1331-5ded-a5d6-a252c9974594</t>
        </is>
      </c>
      <c r="D27" s="13" t="inlineStr">
        <is>
          <t>jungle-plaza-design-district</t>
        </is>
      </c>
      <c r="E27" s="13" t="inlineStr">
        <is>
          <t>Through the Portal</t>
        </is>
      </c>
      <c r="F27" s="13" t="inlineStr">
        <is>
          <t>Jungle Plaza</t>
        </is>
      </c>
      <c r="G27" s="13" t="inlineStr">
        <is>
          <t>Jungle Plaza</t>
        </is>
      </c>
      <c r="H27" s="13" t="inlineStr">
        <is>
          <t>art</t>
        </is>
      </c>
      <c r="I27" s="13" t="inlineStr">
        <is>
          <t>easy</t>
        </is>
      </c>
      <c r="J27" s="16" t="n">
        <v>50</v>
      </c>
      <c r="K27" s="16" t="n">
        <v>25</v>
      </c>
      <c r="L27" s="13" t="inlineStr">
        <is>
          <t>5–10 min</t>
        </is>
      </c>
      <c r="M27" s="17" t="inlineStr">
        <is>
          <t>Find Criola's 'Interdimensional Portal' mural at Jungle Plaza and step through it — photographically speaking.</t>
        </is>
      </c>
      <c r="N27" s="17" t="inlineStr">
        <is>
          <t>Pose like you're mid-teleport. Hair matters here.</t>
        </is>
      </c>
      <c r="O27" s="17" t="inlineStr">
        <is>
          <t>A 33,000-square-foot open plaza in the Design District, home to Criola's 'Interdimensional Portal' mural. As advertised: it's a portal. Interdimensionally speaking.</t>
        </is>
      </c>
      <c r="P27" s="7" t="inlineStr">
        <is>
          <t>active</t>
        </is>
      </c>
      <c r="Q27" s="15" t="inlineStr">
        <is>
          <t>Website</t>
        </is>
      </c>
      <c r="R27" s="15" t="inlineStr">
        <is>
          <t>Google Reviews</t>
        </is>
      </c>
      <c r="S27" s="13" t="inlineStr">
        <is>
          <t>google</t>
        </is>
      </c>
      <c r="T27" s="15" t="inlineStr">
        <is>
          <t>Instagram</t>
        </is>
      </c>
      <c r="U27" s="13" t="inlineStr">
        <is>
          <t>other</t>
        </is>
      </c>
      <c r="V27" s="13" t="inlineStr">
        <is>
          <t>JUNGLE-PLAZA-DESIGN-DISTRICT</t>
        </is>
      </c>
      <c r="W27" s="13" t="inlineStr">
        <is>
          <t>/q/3a01d0e9-5bce-5fc4-88aa-8252bebe58a2</t>
        </is>
      </c>
      <c r="X27" s="12" t="inlineStr">
        <is>
          <t>Needs Sourcing</t>
        </is>
      </c>
      <c r="Y27" s="12" t="inlineStr">
        <is>
          <t>Needs Sourcing</t>
        </is>
      </c>
    </row>
    <row r="28" ht="49" customHeight="1">
      <c r="A28" s="6" t="inlineStr">
        <is>
          <t>8bcf25da-8073-5260-8722-2bf942b352fa</t>
        </is>
      </c>
      <c r="B28" s="6" t="inlineStr">
        <is>
          <t>7a74344f-5262-599b-8922-59a9fc7f8613</t>
        </is>
      </c>
      <c r="C28" s="6" t="inlineStr">
        <is>
          <t>7ccaef07-9288-5d31-8b40-0061bc3ddf10</t>
        </is>
      </c>
      <c r="D28" s="6" t="inlineStr">
        <is>
          <t>miami-design-district</t>
        </is>
      </c>
      <c r="E28" s="6" t="inlineStr">
        <is>
          <t>The Palm Court Puzzle</t>
        </is>
      </c>
      <c r="F28" s="6" t="inlineStr">
        <is>
          <t>Miami Design District</t>
        </is>
      </c>
      <c r="G28" s="6" t="inlineStr">
        <is>
          <t>Miami Design District</t>
        </is>
      </c>
      <c r="H28" s="6" t="inlineStr">
        <is>
          <t>shopping</t>
        </is>
      </c>
      <c r="I28" s="6" t="inlineStr">
        <is>
          <t>medium</t>
        </is>
      </c>
      <c r="J28" s="10" t="n">
        <v>150</v>
      </c>
      <c r="K28" s="10" t="n">
        <v>75</v>
      </c>
      <c r="L28" s="6" t="inlineStr">
        <is>
          <t>15–20 min</t>
        </is>
      </c>
      <c r="M28" s="11" t="inlineStr">
        <is>
          <t>Explore the district's public spaces until you find Palm Court. Photograph the storefront or installation that stopped you along the way.</t>
        </is>
      </c>
      <c r="N28" s="11" t="inlineStr">
        <is>
          <t>Pick the display window that best matches your personality. Defend your choice.</t>
        </is>
      </c>
      <c r="O28" s="11" t="inlineStr">
        <is>
          <t>A whole neighborhood curated like a gallery — luxury storefronts, public art and architecture competing politely for your attention. Somewhere in the middle hides Palm Court, the district's gathering spot.</t>
        </is>
      </c>
      <c r="P28" s="7" t="inlineStr">
        <is>
          <t>active</t>
        </is>
      </c>
      <c r="Q28" s="9" t="inlineStr">
        <is>
          <t>Website</t>
        </is>
      </c>
      <c r="R28" s="9" t="inlineStr">
        <is>
          <t>Google Reviews</t>
        </is>
      </c>
      <c r="S28" s="6" t="inlineStr">
        <is>
          <t>google</t>
        </is>
      </c>
      <c r="T28" s="9" t="inlineStr">
        <is>
          <t>Instagram</t>
        </is>
      </c>
      <c r="U28" s="6" t="inlineStr">
        <is>
          <t>other</t>
        </is>
      </c>
      <c r="V28" s="6" t="inlineStr">
        <is>
          <t>MIAMI-DESIGN-DISTRICT</t>
        </is>
      </c>
      <c r="W28" s="6" t="inlineStr">
        <is>
          <t>/q/8bcf25da-8073-5260-8722-2bf942b352fa</t>
        </is>
      </c>
      <c r="X28" s="12" t="inlineStr">
        <is>
          <t>Needs Sourcing</t>
        </is>
      </c>
      <c r="Y28" s="12" t="inlineStr">
        <is>
          <t>Needs Sourcing</t>
        </is>
      </c>
    </row>
    <row r="29" ht="34" customHeight="1">
      <c r="A29" s="13" t="inlineStr">
        <is>
          <t>77ea42de-fedb-5fbd-a6a1-a84449b9d87c</t>
        </is>
      </c>
      <c r="B29" s="13" t="inlineStr">
        <is>
          <t>f752f8f9-7f21-5823-acbd-9bc90363535f</t>
        </is>
      </c>
      <c r="C29" s="13" t="inlineStr">
        <is>
          <t>a8368acf-f984-5d35-bd3a-c283875d5706</t>
        </is>
      </c>
      <c r="D29" s="13" t="inlineStr">
        <is>
          <t>bayside-marketplace</t>
        </is>
      </c>
      <c r="E29" s="13" t="inlineStr">
        <is>
          <t>Where Downtown Meets the Bay</t>
        </is>
      </c>
      <c r="F29" s="13" t="inlineStr">
        <is>
          <t>Bayside Marketplace</t>
        </is>
      </c>
      <c r="G29" s="13" t="inlineStr">
        <is>
          <t>Bayside Marketplace</t>
        </is>
      </c>
      <c r="H29" s="13" t="inlineStr">
        <is>
          <t>shopping</t>
        </is>
      </c>
      <c r="I29" s="13" t="inlineStr">
        <is>
          <t>easy</t>
        </is>
      </c>
      <c r="J29" s="16" t="n">
        <v>50</v>
      </c>
      <c r="K29" s="16" t="n">
        <v>25</v>
      </c>
      <c r="L29" s="13" t="inlineStr">
        <is>
          <t>10–15 min</t>
        </is>
      </c>
      <c r="M29" s="17" t="inlineStr">
        <is>
          <t>Find the spot where Bayside meets the bay and capture the water, boats and skyline in one frame.</t>
        </is>
      </c>
      <c r="N29" s="17" t="inlineStr">
        <is>
          <t>Wave at a passing boat. If they wave back, it counts double.</t>
        </is>
      </c>
      <c r="O29" s="17" t="inlineStr">
        <is>
          <t>Downtown's waterfront marketplace, where the shopping ends at the edge of Biscayne Bay. Skip the mall part first — go straight to the water and work backwards.</t>
        </is>
      </c>
      <c r="P29" s="7" t="inlineStr">
        <is>
          <t>active</t>
        </is>
      </c>
      <c r="Q29" s="15" t="inlineStr">
        <is>
          <t>Website</t>
        </is>
      </c>
      <c r="R29" s="15" t="inlineStr">
        <is>
          <t>Google Reviews</t>
        </is>
      </c>
      <c r="S29" s="13" t="inlineStr">
        <is>
          <t>google</t>
        </is>
      </c>
      <c r="T29" s="15" t="inlineStr">
        <is>
          <t>Instagram</t>
        </is>
      </c>
      <c r="U29" s="13" t="inlineStr">
        <is>
          <t>other</t>
        </is>
      </c>
      <c r="V29" s="13" t="inlineStr">
        <is>
          <t>BAYSIDE-MARKETPLACE</t>
        </is>
      </c>
      <c r="W29" s="13" t="inlineStr">
        <is>
          <t>/q/77ea42de-fedb-5fbd-a6a1-a84449b9d87c</t>
        </is>
      </c>
      <c r="X29" s="12" t="inlineStr">
        <is>
          <t>Needs Sourcing</t>
        </is>
      </c>
      <c r="Y29" s="12" t="inlineStr">
        <is>
          <t>Needs Sourcing</t>
        </is>
      </c>
    </row>
    <row r="30" ht="49" customHeight="1">
      <c r="A30" s="6" t="inlineStr">
        <is>
          <t>8f832778-54cd-5d54-bad1-f820de54ea39</t>
        </is>
      </c>
      <c r="B30" s="6" t="inlineStr">
        <is>
          <t>49e25061-35a8-5ed1-9c65-8238bc62bbf4</t>
        </is>
      </c>
      <c r="C30" s="6" t="inlineStr">
        <is>
          <t>0e518098-b8c2-5a78-af0f-1b4a38cb4d45</t>
        </is>
      </c>
      <c r="D30" s="6" t="inlineStr">
        <is>
          <t>citizens-miamicentral</t>
        </is>
      </c>
      <c r="E30" s="6" t="inlineStr">
        <is>
          <t>Eat Like a Commuter</t>
        </is>
      </c>
      <c r="F30" s="6" t="inlineStr">
        <is>
          <t>Citizens MiamiCentral</t>
        </is>
      </c>
      <c r="G30" s="6" t="inlineStr">
        <is>
          <t>Citizens MiamiCentral</t>
        </is>
      </c>
      <c r="H30" s="6" t="inlineStr">
        <is>
          <t>food</t>
        </is>
      </c>
      <c r="I30" s="6" t="inlineStr">
        <is>
          <t>easy</t>
        </is>
      </c>
      <c r="J30" s="10" t="n">
        <v>50</v>
      </c>
      <c r="K30" s="10" t="n">
        <v>25</v>
      </c>
      <c r="L30" s="6" t="inlineStr">
        <is>
          <t>10–15 min</t>
        </is>
      </c>
      <c r="M30" s="11" t="inlineStr">
        <is>
          <t>Find the food hall inside MiamiCentral station and photograph the scene — trains, counters and all.</t>
        </is>
      </c>
      <c r="N30" s="11" t="inlineStr">
        <is>
          <t>Time your photo to a Brightline arrival if you can. Patience is a virtue.</t>
        </is>
      </c>
      <c r="O30" s="11" t="inlineStr">
        <is>
          <t>A food hall built into Brightline's MiamiCentral station, where intercity trains and lunch counters share a roof. The rare place where 'grabbing a bite before the train' is the destination.</t>
        </is>
      </c>
      <c r="P30" s="7" t="inlineStr">
        <is>
          <t>active</t>
        </is>
      </c>
      <c r="Q30" s="9" t="inlineStr">
        <is>
          <t>Website</t>
        </is>
      </c>
      <c r="R30" s="9" t="inlineStr">
        <is>
          <t>Google Reviews</t>
        </is>
      </c>
      <c r="S30" s="6" t="inlineStr">
        <is>
          <t>google</t>
        </is>
      </c>
      <c r="T30" s="9" t="inlineStr">
        <is>
          <t>Instagram</t>
        </is>
      </c>
      <c r="U30" s="6" t="inlineStr">
        <is>
          <t>other</t>
        </is>
      </c>
      <c r="V30" s="6" t="inlineStr">
        <is>
          <t>CITIZENS-MIAMICENTRAL</t>
        </is>
      </c>
      <c r="W30" s="6" t="inlineStr">
        <is>
          <t>/q/8f832778-54cd-5d54-bad1-f820de54ea39</t>
        </is>
      </c>
      <c r="X30" s="12" t="inlineStr">
        <is>
          <t>Needs Sourcing</t>
        </is>
      </c>
      <c r="Y30" s="12" t="inlineStr">
        <is>
          <t>Needs Sourcing</t>
        </is>
      </c>
    </row>
    <row r="31" ht="34" customHeight="1">
      <c r="A31" s="13" t="inlineStr">
        <is>
          <t>fc2b6028-5ab4-5b0d-897b-b2a91baadbf9</t>
        </is>
      </c>
      <c r="B31" s="13" t="inlineStr">
        <is>
          <t>316c048c-ce1c-53a7-a3d3-59ccaa896e5e</t>
        </is>
      </c>
      <c r="C31" s="13" t="inlineStr">
        <is>
          <t>856c13bf-067d-51ad-b3d0-90a47254fead</t>
        </is>
      </c>
      <c r="D31" s="13" t="inlineStr">
        <is>
          <t>e11even-miami</t>
        </is>
      </c>
      <c r="E31" s="13" t="inlineStr">
        <is>
          <t>The Club That Never Sleeps</t>
        </is>
      </c>
      <c r="F31" s="13" t="inlineStr">
        <is>
          <t>E11EVEN Miami</t>
        </is>
      </c>
      <c r="G31" s="13" t="inlineStr">
        <is>
          <t>E11EVEN Miami</t>
        </is>
      </c>
      <c r="H31" s="13" t="inlineStr">
        <is>
          <t>nightlife</t>
        </is>
      </c>
      <c r="I31" s="13" t="inlineStr">
        <is>
          <t>medium</t>
        </is>
      </c>
      <c r="J31" s="16" t="n">
        <v>150</v>
      </c>
      <c r="K31" s="16" t="n">
        <v>75</v>
      </c>
      <c r="L31" s="13" t="inlineStr">
        <is>
          <t>10–20 min</t>
        </is>
      </c>
      <c r="M31" s="17" t="inlineStr">
        <is>
          <t>Make it to E11EVEN — any hour works, it never closes — and capture proof you found Miami's 24-hour ultraclub.</t>
        </is>
      </c>
      <c r="N31" s="17" t="inlineStr">
        <is>
          <t>Caption your photo with the exact time you were there. Sunrise entries earn eternal respect.</t>
        </is>
      </c>
      <c r="O31" s="17" t="inlineStr">
        <is>
          <t>A 24-hour ultraclub ranked among the best on the planet — Downtown Miami's round-the-clock heartbeat. Whatever hour you arrive, you're on time. 21+ only.</t>
        </is>
      </c>
      <c r="P31" s="7" t="inlineStr">
        <is>
          <t>active</t>
        </is>
      </c>
      <c r="Q31" s="15" t="inlineStr">
        <is>
          <t>Website</t>
        </is>
      </c>
      <c r="R31" s="15" t="inlineStr">
        <is>
          <t>Google Reviews</t>
        </is>
      </c>
      <c r="S31" s="13" t="inlineStr">
        <is>
          <t>yelp</t>
        </is>
      </c>
      <c r="T31" s="15" t="inlineStr">
        <is>
          <t>Instagram</t>
        </is>
      </c>
      <c r="U31" s="13" t="inlineStr">
        <is>
          <t>other</t>
        </is>
      </c>
      <c r="V31" s="13" t="inlineStr">
        <is>
          <t>E11EVEN-MIAMI</t>
        </is>
      </c>
      <c r="W31" s="13" t="inlineStr">
        <is>
          <t>/q/fc2b6028-5ab4-5b0d-897b-b2a91baadbf9</t>
        </is>
      </c>
      <c r="X31" s="12" t="inlineStr">
        <is>
          <t>Needs Sourcing</t>
        </is>
      </c>
      <c r="Y31" s="12" t="inlineStr">
        <is>
          <t>Needs Sourcing</t>
        </is>
      </c>
    </row>
    <row r="32" ht="49" customHeight="1">
      <c r="A32" s="6" t="inlineStr">
        <is>
          <t>a3b596af-e36d-5eb9-a46b-c93873345ed0</t>
        </is>
      </c>
      <c r="B32" s="6" t="inlineStr">
        <is>
          <t>1f2ec53a-2e1b-58cd-b2aa-1cd178687999</t>
        </is>
      </c>
      <c r="C32" s="6" t="inlineStr">
        <is>
          <t>a116f926-5af7-523b-a23c-7b0131e64f83</t>
        </is>
      </c>
      <c r="D32" s="6" t="inlineStr">
        <is>
          <t>government-center-station</t>
        </is>
      </c>
      <c r="E32" s="6" t="inlineStr">
        <is>
          <t>The Crossroads</t>
        </is>
      </c>
      <c r="F32" s="6" t="inlineStr">
        <is>
          <t>Government Center Station</t>
        </is>
      </c>
      <c r="G32" s="6" t="inlineStr">
        <is>
          <t>Government Center Station</t>
        </is>
      </c>
      <c r="H32" s="6" t="inlineStr">
        <is>
          <t>culture</t>
        </is>
      </c>
      <c r="I32" s="6" t="inlineStr">
        <is>
          <t>easy</t>
        </is>
      </c>
      <c r="J32" s="10" t="n">
        <v>50</v>
      </c>
      <c r="K32" s="10" t="n">
        <v>25</v>
      </c>
      <c r="L32" s="6" t="inlineStr">
        <is>
          <t>5–10 min</t>
        </is>
      </c>
      <c r="M32" s="11" t="inlineStr">
        <is>
          <t>Find where the trains come and go at Government Center and capture one in motion.</t>
        </is>
      </c>
      <c r="N32" s="11" t="inlineStr">
        <is>
          <t>Guess where a departing train is headed, then check the board and grade yourself.</t>
        </is>
      </c>
      <c r="O32" s="11" t="inlineStr">
        <is>
          <t>Since 1984 this has been Miami's great transit crossroads — Metrorail, Metromover and Metrobus all converging in one Downtown hub. Most people pass through; this time, stop and look.</t>
        </is>
      </c>
      <c r="P32" s="7" t="inlineStr">
        <is>
          <t>active</t>
        </is>
      </c>
      <c r="Q32" s="9" t="inlineStr">
        <is>
          <t>Website</t>
        </is>
      </c>
      <c r="R32" s="9" t="inlineStr">
        <is>
          <t>Google Reviews</t>
        </is>
      </c>
      <c r="S32" s="6" t="inlineStr">
        <is>
          <t>google</t>
        </is>
      </c>
      <c r="T32" s="9" t="inlineStr">
        <is>
          <t>Instagram</t>
        </is>
      </c>
      <c r="U32" s="6" t="inlineStr">
        <is>
          <t>other</t>
        </is>
      </c>
      <c r="V32" s="6" t="inlineStr">
        <is>
          <t>GOVERNMENT-CENTER-STATION</t>
        </is>
      </c>
      <c r="W32" s="6" t="inlineStr">
        <is>
          <t>/q/a3b596af-e36d-5eb9-a46b-c93873345ed0</t>
        </is>
      </c>
      <c r="X32" s="12" t="inlineStr">
        <is>
          <t>Needs Sourcing</t>
        </is>
      </c>
      <c r="Y32" s="12" t="inlineStr">
        <is>
          <t>Needs Sourcing</t>
        </is>
      </c>
    </row>
    <row r="33" ht="49" customHeight="1">
      <c r="A33" s="13" t="inlineStr">
        <is>
          <t>192fe224-7d8b-5c25-a708-4cfb241f0272</t>
        </is>
      </c>
      <c r="B33" s="13" t="inlineStr">
        <is>
          <t>6d4f6842-8525-5831-92de-fdb4727ed574</t>
        </is>
      </c>
      <c r="C33" s="13" t="inlineStr">
        <is>
          <t>5e937cc3-c9da-52d6-9aa4-833b48cd20be</t>
        </is>
      </c>
      <c r="D33" s="13" t="inlineStr">
        <is>
          <t>kaseya-center-plaza</t>
        </is>
      </c>
      <c r="E33" s="13" t="inlineStr">
        <is>
          <t>Home Court</t>
        </is>
      </c>
      <c r="F33" s="13" t="inlineStr">
        <is>
          <t>Kaseya Center</t>
        </is>
      </c>
      <c r="G33" s="13" t="inlineStr">
        <is>
          <t>Kaseya Center (AT&amp;T East Plaza)</t>
        </is>
      </c>
      <c r="H33" s="13" t="inlineStr">
        <is>
          <t>culture</t>
        </is>
      </c>
      <c r="I33" s="13" t="inlineStr">
        <is>
          <t>easy</t>
        </is>
      </c>
      <c r="J33" s="16" t="n">
        <v>50</v>
      </c>
      <c r="K33" s="16" t="n">
        <v>25</v>
      </c>
      <c r="L33" s="13" t="inlineStr">
        <is>
          <t>5–10 min</t>
        </is>
      </c>
      <c r="M33" s="17" t="inlineStr">
        <is>
          <t>Find the East Plaza at Kaseya Center and capture the arena where the Heat play — game day or not.</t>
        </is>
      </c>
      <c r="N33" s="17" t="inlineStr">
        <is>
          <t>Practice your championship-parade wave across the plaza.</t>
        </is>
      </c>
      <c r="O33" s="17" t="inlineStr">
        <is>
          <t>The 23,000-square-foot East Plaza outside Kaseya Center is Downtown's pre-game front porch — and on quiet days, a bayfront shortcut with an arena-sized backdrop. Game night or ghost town, the Heat's house is worth the walk.</t>
        </is>
      </c>
      <c r="P33" s="7" t="inlineStr">
        <is>
          <t>active</t>
        </is>
      </c>
      <c r="Q33" s="15" t="inlineStr">
        <is>
          <t>Website</t>
        </is>
      </c>
      <c r="R33" s="15" t="inlineStr">
        <is>
          <t>Google Reviews</t>
        </is>
      </c>
      <c r="S33" s="13" t="inlineStr">
        <is>
          <t>google</t>
        </is>
      </c>
      <c r="T33" s="15" t="inlineStr">
        <is>
          <t>Instagram</t>
        </is>
      </c>
      <c r="U33" s="13" t="inlineStr">
        <is>
          <t>other</t>
        </is>
      </c>
      <c r="V33" s="13" t="inlineStr">
        <is>
          <t>KASEYA-CENTER-PLAZA</t>
        </is>
      </c>
      <c r="W33" s="13" t="inlineStr">
        <is>
          <t>/q/192fe224-7d8b-5c25-a708-4cfb241f0272</t>
        </is>
      </c>
      <c r="X33" s="12" t="inlineStr">
        <is>
          <t>Needs Sourcing</t>
        </is>
      </c>
      <c r="Y33" s="12" t="inlineStr">
        <is>
          <t>Needs Sourcing</t>
        </is>
      </c>
    </row>
    <row r="34" ht="49" customHeight="1">
      <c r="A34" s="6" t="inlineStr">
        <is>
          <t>cc824584-6599-556e-a42d-2fb4328d3ec7</t>
        </is>
      </c>
      <c r="B34" s="6" t="inlineStr">
        <is>
          <t>d858150a-df59-589b-a51b-a8910c61237d</t>
        </is>
      </c>
      <c r="C34" s="6" t="inlineStr">
        <is>
          <t>7b017967-7fa7-5e64-b5b4-74f32f680a17</t>
        </is>
      </c>
      <c r="D34" s="6" t="inlineStr">
        <is>
          <t>lost-boy-dry-goods</t>
        </is>
      </c>
      <c r="E34" s="6" t="inlineStr">
        <is>
          <t>Get Lost Downtown</t>
        </is>
      </c>
      <c r="F34" s="6" t="inlineStr">
        <is>
          <t>Lost Boy Dry Goods</t>
        </is>
      </c>
      <c r="G34" s="6" t="inlineStr">
        <is>
          <t>Lost Boy &amp; Co.</t>
        </is>
      </c>
      <c r="H34" s="6" t="inlineStr">
        <is>
          <t>nightlife</t>
        </is>
      </c>
      <c r="I34" s="6" t="inlineStr">
        <is>
          <t>medium</t>
        </is>
      </c>
      <c r="J34" s="10" t="n">
        <v>150</v>
      </c>
      <c r="K34" s="10" t="n">
        <v>75</v>
      </c>
      <c r="L34" s="6" t="inlineStr">
        <is>
          <t>10–15 min</t>
        </is>
      </c>
      <c r="M34" s="11" t="inlineStr">
        <is>
          <t>Find Lost Boy Dry Goods on E Flagler Street and photograph the most un-pub-like detail of this very English pub.</t>
        </is>
      </c>
      <c r="N34" s="11" t="inlineStr">
        <is>
          <t>Declare yourself officially lost upon entry — and found by the time you leave.</t>
        </is>
      </c>
      <c r="O34" s="11" t="inlineStr">
        <is>
          <t>An English-pub-style bar that opened in 2018 inside the Alfred I. duPont Building — 'Lost Boy Dry Goods,' a pub wearing a general store's name on historic Flagler Street. Getting lost here is the point.</t>
        </is>
      </c>
      <c r="P34" s="7" t="inlineStr">
        <is>
          <t>active</t>
        </is>
      </c>
      <c r="Q34" s="9" t="inlineStr">
        <is>
          <t>Website</t>
        </is>
      </c>
      <c r="R34" s="9" t="inlineStr">
        <is>
          <t>Google Reviews</t>
        </is>
      </c>
      <c r="S34" s="6" t="inlineStr">
        <is>
          <t>google</t>
        </is>
      </c>
      <c r="T34" s="9" t="inlineStr">
        <is>
          <t>Instagram</t>
        </is>
      </c>
      <c r="U34" s="6" t="inlineStr">
        <is>
          <t>other</t>
        </is>
      </c>
      <c r="V34" s="6" t="inlineStr">
        <is>
          <t>LOST-BOY-DRY-GOODS</t>
        </is>
      </c>
      <c r="W34" s="6" t="inlineStr">
        <is>
          <t>/q/cc824584-6599-556e-a42d-2fb4328d3ec7</t>
        </is>
      </c>
      <c r="X34" s="12" t="inlineStr">
        <is>
          <t>Needs Sourcing</t>
        </is>
      </c>
      <c r="Y34" s="12" t="inlineStr">
        <is>
          <t>Needs Sourcing</t>
        </is>
      </c>
    </row>
    <row r="35" ht="49" customHeight="1">
      <c r="A35" s="13" t="inlineStr">
        <is>
          <t>8c2d780a-5ad9-5e8d-b764-47902ba01d59</t>
        </is>
      </c>
      <c r="B35" s="13" t="inlineStr">
        <is>
          <t>71b22ea1-5f61-5b45-aade-19e00c48e84f</t>
        </is>
      </c>
      <c r="C35" s="13" t="inlineStr">
        <is>
          <t>a0e58b54-b8ed-5125-a4e8-387091622757</t>
        </is>
      </c>
      <c r="D35" s="13" t="inlineStr">
        <is>
          <t>over-under-downtown</t>
        </is>
      </c>
      <c r="E35" s="13" t="inlineStr">
        <is>
          <t>Flagler Street Revival</t>
        </is>
      </c>
      <c r="F35" s="13" t="inlineStr">
        <is>
          <t>Over Under</t>
        </is>
      </c>
      <c r="G35" s="13" t="inlineStr">
        <is>
          <t>Over Under</t>
        </is>
      </c>
      <c r="H35" s="13" t="inlineStr">
        <is>
          <t>nightlife</t>
        </is>
      </c>
      <c r="I35" s="13" t="inlineStr">
        <is>
          <t>medium</t>
        </is>
      </c>
      <c r="J35" s="16" t="n">
        <v>150</v>
      </c>
      <c r="K35" s="16" t="n">
        <v>75</v>
      </c>
      <c r="L35" s="13" t="inlineStr">
        <is>
          <t>10–15 min</t>
        </is>
      </c>
      <c r="M35" s="17" t="inlineStr">
        <is>
          <t>Find Over Under on E Flagler Street and capture where the historic building meets the modern bar.</t>
        </is>
      </c>
      <c r="N35" s="17" t="inlineStr">
        <is>
          <t>Debate with your group: is the name about drinks, sports bets, or the building? Pick a side and die on it.</t>
        </is>
      </c>
      <c r="O35" s="17" t="inlineStr">
        <is>
          <t>A cocktail bar and gastropub inside the historic Alfred I. duPont Building, where old Flagler Street grandeur meets new Downtown energy. The name is a question; the room is the answer.</t>
        </is>
      </c>
      <c r="P35" s="7" t="inlineStr">
        <is>
          <t>active</t>
        </is>
      </c>
      <c r="Q35" s="15" t="inlineStr">
        <is>
          <t>Website</t>
        </is>
      </c>
      <c r="R35" s="15" t="inlineStr">
        <is>
          <t>Google Reviews</t>
        </is>
      </c>
      <c r="S35" s="13" t="inlineStr">
        <is>
          <t>google</t>
        </is>
      </c>
      <c r="T35" s="15" t="inlineStr">
        <is>
          <t>Instagram</t>
        </is>
      </c>
      <c r="U35" s="13" t="inlineStr">
        <is>
          <t>other</t>
        </is>
      </c>
      <c r="V35" s="13" t="inlineStr">
        <is>
          <t>OVER-UNDER-DOWNTOWN</t>
        </is>
      </c>
      <c r="W35" s="13" t="inlineStr">
        <is>
          <t>/q/8c2d780a-5ad9-5e8d-b764-47902ba01d59</t>
        </is>
      </c>
      <c r="X35" s="12" t="inlineStr">
        <is>
          <t>Needs Sourcing</t>
        </is>
      </c>
      <c r="Y35" s="12" t="inlineStr">
        <is>
          <t>Needs Sourcing</t>
        </is>
      </c>
    </row>
    <row r="36" ht="34" customHeight="1">
      <c r="A36" s="6" t="inlineStr">
        <is>
          <t>b66e6390-cdbf-5b91-a613-def6cb716e0d</t>
        </is>
      </c>
      <c r="B36" s="6" t="inlineStr">
        <is>
          <t>be92a4e5-2635-5364-8ada-a5e99d0fdd0a</t>
        </is>
      </c>
      <c r="C36" s="6" t="inlineStr">
        <is>
          <t>499e378f-6144-5a1a-878d-b9c8193b3544</t>
        </is>
      </c>
      <c r="D36" s="6" t="inlineStr">
        <is>
          <t>perez-art-museum-miami</t>
        </is>
      </c>
      <c r="E36" s="6" t="inlineStr">
        <is>
          <t>Art on the Bay</t>
        </is>
      </c>
      <c r="F36" s="6" t="inlineStr">
        <is>
          <t>Pérez Art Museum Miami</t>
        </is>
      </c>
      <c r="G36" s="6" t="inlineStr">
        <is>
          <t>Pérez Art Museum Miami</t>
        </is>
      </c>
      <c r="H36" s="6" t="inlineStr">
        <is>
          <t>art</t>
        </is>
      </c>
      <c r="I36" s="6" t="inlineStr">
        <is>
          <t>medium</t>
        </is>
      </c>
      <c r="J36" s="10" t="n">
        <v>150</v>
      </c>
      <c r="K36" s="10" t="n">
        <v>75</v>
      </c>
      <c r="L36" s="6" t="inlineStr">
        <is>
          <t>15–20 min</t>
        </is>
      </c>
      <c r="M36" s="11" t="inlineStr">
        <is>
          <t>Find the one artwork inside PAMM you'd hang at home — then find the bay view and decide which one wins.</t>
        </is>
      </c>
      <c r="N36" s="11" t="inlineStr">
        <is>
          <t>Leave a one-word review of your favorite piece in your Community Note.</t>
        </is>
      </c>
      <c r="O36" s="11" t="inlineStr">
        <is>
          <t>PAMM sits at the water's edge of Maurice A. Ferré Park, next door to the Kaseya Center. Inside: contemporary art. Outside: Biscayne Bay doing its best to compete with it.</t>
        </is>
      </c>
      <c r="P36" s="7" t="inlineStr">
        <is>
          <t>active</t>
        </is>
      </c>
      <c r="Q36" s="9" t="inlineStr">
        <is>
          <t>Website</t>
        </is>
      </c>
      <c r="R36" s="9" t="inlineStr">
        <is>
          <t>Google Reviews</t>
        </is>
      </c>
      <c r="S36" s="6" t="inlineStr">
        <is>
          <t>yelp</t>
        </is>
      </c>
      <c r="T36" s="9" t="inlineStr">
        <is>
          <t>Instagram</t>
        </is>
      </c>
      <c r="U36" s="6" t="inlineStr">
        <is>
          <t>other</t>
        </is>
      </c>
      <c r="V36" s="6" t="inlineStr">
        <is>
          <t>PEREZ-ART-MUSEUM-MIAMI</t>
        </is>
      </c>
      <c r="W36" s="6" t="inlineStr">
        <is>
          <t>/q/b66e6390-cdbf-5b91-a613-def6cb716e0d</t>
        </is>
      </c>
      <c r="X36" s="12" t="inlineStr">
        <is>
          <t>Needs Sourcing</t>
        </is>
      </c>
      <c r="Y36" s="12" t="inlineStr">
        <is>
          <t>Needs Sourcing</t>
        </is>
      </c>
    </row>
    <row r="37" ht="49" customHeight="1">
      <c r="A37" s="13" t="inlineStr">
        <is>
          <t>3479422e-08ef-5673-83d2-557027a01877</t>
        </is>
      </c>
      <c r="B37" s="13" t="inlineStr">
        <is>
          <t>4f8b3159-5218-59b2-b342-11bc9abc7359</t>
        </is>
      </c>
      <c r="C37" s="13" t="inlineStr">
        <is>
          <t>a2bdfb29-2728-54f6-8142-de371f679c40</t>
        </is>
      </c>
      <c r="D37" s="13" t="inlineStr">
        <is>
          <t>maurice-ferre-park</t>
        </is>
      </c>
      <c r="E37" s="13" t="inlineStr">
        <is>
          <t>The Museum's Front Yard</t>
        </is>
      </c>
      <c r="F37" s="13" t="inlineStr">
        <is>
          <t>Maurice A. Ferré Park</t>
        </is>
      </c>
      <c r="G37" s="13" t="inlineStr">
        <is>
          <t>Maurice A. Ferré Park</t>
        </is>
      </c>
      <c r="H37" s="13" t="inlineStr">
        <is>
          <t>outdoors</t>
        </is>
      </c>
      <c r="I37" s="13" t="inlineStr">
        <is>
          <t>easy</t>
        </is>
      </c>
      <c r="J37" s="16" t="n">
        <v>50</v>
      </c>
      <c r="K37" s="16" t="n">
        <v>25</v>
      </c>
      <c r="L37" s="13" t="inlineStr">
        <is>
          <t>10–15 min</t>
        </is>
      </c>
      <c r="M37" s="17" t="inlineStr">
        <is>
          <t>Walk the park's waterfront and frame one photo with the bay on one side and the museums on the other.</t>
        </is>
      </c>
      <c r="N37" s="17" t="inlineStr">
        <is>
          <t>Find the best patch of grass and claim it for exactly one minute of doing absolutely nothing.</t>
        </is>
      </c>
      <c r="O37" s="17" t="inlineStr">
        <is>
          <t>Thirty acres of downtown waterfront green, renamed in 2019 for Miami's former mayor — with PAMM and the Frost Science Museum living inside it. Culture on one side, Biscayne Bay on the other, grass in between.</t>
        </is>
      </c>
      <c r="P37" s="7" t="inlineStr">
        <is>
          <t>active</t>
        </is>
      </c>
      <c r="Q37" s="15" t="inlineStr">
        <is>
          <t>Website</t>
        </is>
      </c>
      <c r="R37" s="15" t="inlineStr">
        <is>
          <t>Google Reviews</t>
        </is>
      </c>
      <c r="S37" s="13" t="inlineStr">
        <is>
          <t>google</t>
        </is>
      </c>
      <c r="T37" s="15" t="inlineStr">
        <is>
          <t>Instagram</t>
        </is>
      </c>
      <c r="U37" s="13" t="inlineStr">
        <is>
          <t>other</t>
        </is>
      </c>
      <c r="V37" s="13" t="inlineStr">
        <is>
          <t>MAURICE-FERRE-PARK</t>
        </is>
      </c>
      <c r="W37" s="13" t="inlineStr">
        <is>
          <t>/q/3479422e-08ef-5673-83d2-557027a01877</t>
        </is>
      </c>
      <c r="X37" s="12" t="inlineStr">
        <is>
          <t>Needs Sourcing</t>
        </is>
      </c>
      <c r="Y37" s="12" t="inlineStr">
        <is>
          <t>Needs Sourcing</t>
        </is>
      </c>
    </row>
    <row r="38" ht="34" customHeight="1">
      <c r="A38" s="6" t="inlineStr">
        <is>
          <t>bf8555e0-2c49-5b14-bba9-362bd12273e8</t>
        </is>
      </c>
      <c r="B38" s="6" t="inlineStr">
        <is>
          <t>89561c5f-7ce2-5d91-8999-50cc258c7d08</t>
        </is>
      </c>
      <c r="C38" s="6" t="inlineStr">
        <is>
          <t>042a4a79-469b-55b5-b06a-ec5d012aa167</t>
        </is>
      </c>
      <c r="D38" s="6" t="inlineStr">
        <is>
          <t>the-corner-downtown</t>
        </is>
      </c>
      <c r="E38" s="6" t="inlineStr">
        <is>
          <t>Meet Me at The Corner</t>
        </is>
      </c>
      <c r="F38" s="6" t="inlineStr">
        <is>
          <t>The Corner</t>
        </is>
      </c>
      <c r="G38" s="6" t="inlineStr">
        <is>
          <t>The Corner</t>
        </is>
      </c>
      <c r="H38" s="6" t="inlineStr">
        <is>
          <t>nightlife</t>
        </is>
      </c>
      <c r="I38" s="6" t="inlineStr">
        <is>
          <t>medium</t>
        </is>
      </c>
      <c r="J38" s="10" t="n">
        <v>150</v>
      </c>
      <c r="K38" s="10" t="n">
        <v>75</v>
      </c>
      <c r="L38" s="6" t="inlineStr">
        <is>
          <t>10–15 min</t>
        </is>
      </c>
      <c r="M38" s="11" t="inlineStr">
        <is>
          <t>Post up at The Corner and capture proof you found it — the sign, the room, or your spot at the bar.</t>
        </is>
      </c>
      <c r="N38" s="11" t="inlineStr">
        <is>
          <t>Raise whatever you're holding and toast 'to the Corner.' Water counts.</t>
        </is>
      </c>
      <c r="O38" s="11" t="inlineStr">
        <is>
          <t>A Park West bar that's exactly what it says on the sign. Downtown's night crowd has been meeting at this corner of N Miami Ave for years — now it's your turn.</t>
        </is>
      </c>
      <c r="P38" s="7" t="inlineStr">
        <is>
          <t>active</t>
        </is>
      </c>
      <c r="Q38" s="9" t="inlineStr">
        <is>
          <t>Website</t>
        </is>
      </c>
      <c r="R38" s="9" t="inlineStr">
        <is>
          <t>Google Reviews</t>
        </is>
      </c>
      <c r="S38" s="6" t="inlineStr">
        <is>
          <t>google</t>
        </is>
      </c>
      <c r="T38" s="9" t="inlineStr">
        <is>
          <t>Instagram</t>
        </is>
      </c>
      <c r="U38" s="6" t="inlineStr">
        <is>
          <t>other</t>
        </is>
      </c>
      <c r="V38" s="6" t="inlineStr">
        <is>
          <t>THE-CORNER-DOWNTOWN</t>
        </is>
      </c>
      <c r="W38" s="6" t="inlineStr">
        <is>
          <t>/q/bf8555e0-2c49-5b14-bba9-362bd12273e8</t>
        </is>
      </c>
      <c r="X38" s="12" t="inlineStr">
        <is>
          <t>Needs Sourcing</t>
        </is>
      </c>
      <c r="Y38" s="12" t="inlineStr">
        <is>
          <t>Needs Sourcing</t>
        </is>
      </c>
    </row>
    <row r="39" ht="49" customHeight="1">
      <c r="A39" s="13" t="inlineStr">
        <is>
          <t>966b0064-6c61-58b2-8e49-73807184982d</t>
        </is>
      </c>
      <c r="B39" s="13" t="inlineStr">
        <is>
          <t>4a76b5e7-7fc8-5485-90c4-403a796770c7</t>
        </is>
      </c>
      <c r="C39" s="13" t="inlineStr">
        <is>
          <t>17fd3975-dc00-523d-be6e-6eee84d5714d</t>
        </is>
      </c>
      <c r="D39" s="13" t="inlineStr">
        <is>
          <t>vice-city-bean-edgewater</t>
        </is>
      </c>
      <c r="E39" s="13" t="inlineStr">
        <is>
          <t>Flagship of Vice City</t>
        </is>
      </c>
      <c r="F39" s="13" t="inlineStr">
        <is>
          <t>Vice City Bean</t>
        </is>
      </c>
      <c r="G39" s="13" t="inlineStr">
        <is>
          <t>Vice City Bean</t>
        </is>
      </c>
      <c r="H39" s="13" t="inlineStr">
        <is>
          <t>food</t>
        </is>
      </c>
      <c r="I39" s="13" t="inlineStr">
        <is>
          <t>easy</t>
        </is>
      </c>
      <c r="J39" s="16" t="n">
        <v>50</v>
      </c>
      <c r="K39" s="16" t="n">
        <v>25</v>
      </c>
      <c r="L39" s="13" t="inlineStr">
        <is>
          <t>5–10 min</t>
        </is>
      </c>
      <c r="M39" s="17" t="inlineStr">
        <is>
          <t>Find Vice City Bean's flagship on N Miami Ave and claim the seat with the best people-watching.</t>
        </is>
      </c>
      <c r="N39" s="17" t="inlineStr">
        <is>
          <t>Strike your most 'Vice City' pose for the camera — sunglasses optional but encouraged.</t>
        </is>
      </c>
      <c r="O39" s="17" t="inlineStr">
        <is>
          <t>Tucked between Downtown and Wynwood in the Arts &amp; Entertainment District, this is the flagship of a homegrown three-shop Miami coffee family. Blink on N Miami Ave and you'll miss it.</t>
        </is>
      </c>
      <c r="P39" s="7" t="inlineStr">
        <is>
          <t>active</t>
        </is>
      </c>
      <c r="Q39" s="15" t="inlineStr">
        <is>
          <t>Website</t>
        </is>
      </c>
      <c r="R39" s="15" t="inlineStr">
        <is>
          <t>Google Reviews</t>
        </is>
      </c>
      <c r="S39" s="13" t="inlineStr">
        <is>
          <t>google</t>
        </is>
      </c>
      <c r="T39" s="15" t="inlineStr">
        <is>
          <t>Instagram</t>
        </is>
      </c>
      <c r="U39" s="13" t="inlineStr">
        <is>
          <t>other</t>
        </is>
      </c>
      <c r="V39" s="13" t="inlineStr">
        <is>
          <t>VICE-CITY-BEAN-EDGEWATER</t>
        </is>
      </c>
      <c r="W39" s="13" t="inlineStr">
        <is>
          <t>/q/966b0064-6c61-58b2-8e49-73807184982d</t>
        </is>
      </c>
      <c r="X39" s="12" t="inlineStr">
        <is>
          <t>Needs Sourcing</t>
        </is>
      </c>
      <c r="Y39" s="12" t="inlineStr">
        <is>
          <t>Needs Sourcing</t>
        </is>
      </c>
    </row>
    <row r="40" ht="34" customHeight="1">
      <c r="A40" s="6" t="inlineStr">
        <is>
          <t>57574160-f082-5ff5-87ea-33846c15f93e</t>
        </is>
      </c>
      <c r="B40" s="6" t="inlineStr">
        <is>
          <t>86ec6766-9a9e-50b5-b1d5-0b40d0be79f8</t>
        </is>
      </c>
      <c r="C40" s="6" t="inlineStr">
        <is>
          <t>d25ce94f-cf6b-5252-af8c-6e8e5526f06a</t>
        </is>
      </c>
      <c r="D40" s="6" t="inlineStr">
        <is>
          <t>naomis-garden-little-haiti</t>
        </is>
      </c>
      <c r="E40" s="6" t="inlineStr">
        <is>
          <t>The Garden of Little Haiti</t>
        </is>
      </c>
      <c r="F40" s="6" t="inlineStr">
        <is>
          <t>Naomi's Garden Restaurant &amp; Lounge</t>
        </is>
      </c>
      <c r="G40" s="6" t="inlineStr">
        <is>
          <t>Naomi's Garden Restaurant &amp; Lounge</t>
        </is>
      </c>
      <c r="H40" s="6" t="inlineStr">
        <is>
          <t>food</t>
        </is>
      </c>
      <c r="I40" s="6" t="inlineStr">
        <is>
          <t>easy</t>
        </is>
      </c>
      <c r="J40" s="10" t="n">
        <v>50</v>
      </c>
      <c r="K40" s="10" t="n">
        <v>25</v>
      </c>
      <c r="L40" s="6" t="inlineStr">
        <is>
          <t>10–15 min</t>
        </is>
      </c>
      <c r="M40" s="11" t="inlineStr">
        <is>
          <t>Find Naomi's Garden on NW 71st Street and photograph whatever earns the 'garden' in the name.</t>
        </is>
      </c>
      <c r="N40" s="11" t="inlineStr">
        <is>
          <t>Compliment the plants. Out loud. They've earned it.</t>
        </is>
      </c>
      <c r="O40" s="11" t="inlineStr">
        <is>
          <t>A Little Haiti original with 'garden' right there in the name — the kind of neighborhood restaurant that grew a second location without losing its roots. Come find the original.</t>
        </is>
      </c>
      <c r="P40" s="7" t="inlineStr">
        <is>
          <t>active</t>
        </is>
      </c>
      <c r="Q40" s="9" t="inlineStr">
        <is>
          <t>Website</t>
        </is>
      </c>
      <c r="R40" s="9" t="inlineStr">
        <is>
          <t>Google Reviews</t>
        </is>
      </c>
      <c r="S40" s="6" t="inlineStr">
        <is>
          <t>google</t>
        </is>
      </c>
      <c r="T40" s="9" t="inlineStr">
        <is>
          <t>Instagram</t>
        </is>
      </c>
      <c r="U40" s="6" t="inlineStr">
        <is>
          <t>other</t>
        </is>
      </c>
      <c r="V40" s="6" t="inlineStr">
        <is>
          <t>NAOMIS-GARDEN-LITTLE-HAITI</t>
        </is>
      </c>
      <c r="W40" s="6" t="inlineStr">
        <is>
          <t>/q/57574160-f082-5ff5-87ea-33846c15f93e</t>
        </is>
      </c>
      <c r="X40" s="12" t="inlineStr">
        <is>
          <t>Needs Sourcing</t>
        </is>
      </c>
      <c r="Y40" s="12" t="inlineStr">
        <is>
          <t>Needs Sourcing</t>
        </is>
      </c>
    </row>
    <row r="41" ht="49" customHeight="1">
      <c r="A41" s="13" t="inlineStr">
        <is>
          <t>8569454a-0457-5805-8b85-997b42155ed2</t>
        </is>
      </c>
      <c r="B41" s="13" t="inlineStr">
        <is>
          <t>8b802b8f-454c-59e7-8397-8e52b8028121</t>
        </is>
      </c>
      <c r="C41" s="13" t="inlineStr">
        <is>
          <t>8b5e8dfd-4d3a-5e78-b0db-a018c6ba2068</t>
        </is>
      </c>
      <c r="D41" s="13" t="inlineStr">
        <is>
          <t>sweat-records-little-haiti</t>
        </is>
      </c>
      <c r="E41" s="13" t="inlineStr">
        <is>
          <t>Crate Digger</t>
        </is>
      </c>
      <c r="F41" s="13" t="inlineStr">
        <is>
          <t>Sweat Records</t>
        </is>
      </c>
      <c r="G41" s="13" t="inlineStr">
        <is>
          <t>Sweat Records</t>
        </is>
      </c>
      <c r="H41" s="13" t="inlineStr">
        <is>
          <t>culture</t>
        </is>
      </c>
      <c r="I41" s="13" t="inlineStr">
        <is>
          <t>medium</t>
        </is>
      </c>
      <c r="J41" s="16" t="n">
        <v>150</v>
      </c>
      <c r="K41" s="16" t="n">
        <v>75</v>
      </c>
      <c r="L41" s="13" t="inlineStr">
        <is>
          <t>10–15 min</t>
        </is>
      </c>
      <c r="M41" s="17" t="inlineStr">
        <is>
          <t>Dig through the crates and find one record older than Sweat Records itself (2005). Photograph your find.</t>
        </is>
      </c>
      <c r="N41" s="17" t="inlineStr">
        <is>
          <t>Air-drum one chorus of whatever record you found. Full commitment.</t>
        </is>
      </c>
      <c r="O41" s="17" t="inlineStr">
        <is>
          <t>Lolo Reskin opened Sweat Records in 2005, and twenty years later it's still Miami's independent record store — right next to Churchill's Pub. Digging is the whole point: your next favorite album is in here somewhere.</t>
        </is>
      </c>
      <c r="P41" s="7" t="inlineStr">
        <is>
          <t>active</t>
        </is>
      </c>
      <c r="Q41" s="15" t="inlineStr">
        <is>
          <t>Website</t>
        </is>
      </c>
      <c r="R41" s="15" t="inlineStr">
        <is>
          <t>Google Reviews</t>
        </is>
      </c>
      <c r="S41" s="13" t="inlineStr">
        <is>
          <t>google</t>
        </is>
      </c>
      <c r="T41" s="15" t="inlineStr">
        <is>
          <t>Instagram</t>
        </is>
      </c>
      <c r="U41" s="13" t="inlineStr">
        <is>
          <t>other</t>
        </is>
      </c>
      <c r="V41" s="13" t="inlineStr">
        <is>
          <t>SWEAT-RECORDS-LITTLE-HAITI</t>
        </is>
      </c>
      <c r="W41" s="13" t="inlineStr">
        <is>
          <t>/q/8569454a-0457-5805-8b85-997b42155ed2</t>
        </is>
      </c>
      <c r="X41" s="12" t="inlineStr">
        <is>
          <t>Needs Sourcing</t>
        </is>
      </c>
      <c r="Y41" s="12" t="inlineStr">
        <is>
          <t>Needs Sourcing</t>
        </is>
      </c>
    </row>
    <row r="42" ht="34" customHeight="1">
      <c r="A42" s="6" t="inlineStr">
        <is>
          <t>e31072cf-e83b-5c36-8254-55a69d2bd500</t>
        </is>
      </c>
      <c r="B42" s="6" t="inlineStr">
        <is>
          <t>e2f43f10-1882-5b1c-a43a-453ba03fcdc7</t>
        </is>
      </c>
      <c r="C42" s="6" t="inlineStr">
        <is>
          <t>d7487d41-d93b-5ef5-ba8a-381866d6b5a0</t>
        </is>
      </c>
      <c r="D42" s="6" t="inlineStr">
        <is>
          <t>ball-and-chain-little-havana</t>
        </is>
      </c>
      <c r="E42" s="6" t="inlineStr">
        <is>
          <t>Calle Ocho After Dark</t>
        </is>
      </c>
      <c r="F42" s="6" t="inlineStr">
        <is>
          <t>Ball &amp; Chain</t>
        </is>
      </c>
      <c r="G42" s="6" t="inlineStr">
        <is>
          <t>Ball &amp; Chain</t>
        </is>
      </c>
      <c r="H42" s="6" t="inlineStr">
        <is>
          <t>nightlife</t>
        </is>
      </c>
      <c r="I42" s="6" t="inlineStr">
        <is>
          <t>medium</t>
        </is>
      </c>
      <c r="J42" s="10" t="n">
        <v>150</v>
      </c>
      <c r="K42" s="10" t="n">
        <v>75</v>
      </c>
      <c r="L42" s="6" t="inlineStr">
        <is>
          <t>15–20 min</t>
        </is>
      </c>
      <c r="M42" s="11" t="inlineStr">
        <is>
          <t>Find Ball &amp; Chain on SW 8th Street and capture the moment that feels most alive.</t>
        </is>
      </c>
      <c r="N42" s="11" t="inlineStr">
        <is>
          <t>Let your shoulders do a little salsa on the way in. Resistance is futile.</t>
        </is>
      </c>
      <c r="O42" s="11" t="inlineStr">
        <is>
          <t>On Calle Ocho, in the heart of Little Havana, Ball &amp; Chain is where the neighborhood turns the volume up. Some bars you visit; this one you feel.</t>
        </is>
      </c>
      <c r="P42" s="7" t="inlineStr">
        <is>
          <t>active</t>
        </is>
      </c>
      <c r="Q42" s="9" t="inlineStr">
        <is>
          <t>Website</t>
        </is>
      </c>
      <c r="R42" s="9" t="inlineStr">
        <is>
          <t>Google Reviews</t>
        </is>
      </c>
      <c r="S42" s="6" t="inlineStr">
        <is>
          <t>google</t>
        </is>
      </c>
      <c r="T42" s="9" t="inlineStr">
        <is>
          <t>Instagram</t>
        </is>
      </c>
      <c r="U42" s="6" t="inlineStr">
        <is>
          <t>other</t>
        </is>
      </c>
      <c r="V42" s="6" t="inlineStr">
        <is>
          <t>BALL-AND-CHAIN-LITTLE-HAVANA</t>
        </is>
      </c>
      <c r="W42" s="6" t="inlineStr">
        <is>
          <t>/q/e31072cf-e83b-5c36-8254-55a69d2bd500</t>
        </is>
      </c>
      <c r="X42" s="12" t="inlineStr">
        <is>
          <t>Needs Sourcing</t>
        </is>
      </c>
      <c r="Y42" s="12" t="inlineStr">
        <is>
          <t>Needs Sourcing</t>
        </is>
      </c>
    </row>
    <row r="43" ht="49" customHeight="1">
      <c r="A43" s="13" t="inlineStr">
        <is>
          <t>8126cef6-7957-58f4-8dc1-c1cf747fcc8e</t>
        </is>
      </c>
      <c r="B43" s="13" t="inlineStr">
        <is>
          <t>628b1edc-8119-5196-9d22-4465d7b944c6</t>
        </is>
      </c>
      <c r="C43" s="13" t="inlineStr">
        <is>
          <t>f1b3973c-4035-58cb-a3b2-6a1326842801</t>
        </is>
      </c>
      <c r="D43" s="13" t="inlineStr">
        <is>
          <t>imperial-moto-little-river</t>
        </is>
      </c>
      <c r="E43" s="13" t="inlineStr">
        <is>
          <t>Full Throttle Coffee</t>
        </is>
      </c>
      <c r="F43" s="13" t="inlineStr">
        <is>
          <t>Imperial Moto Cafe - Little River</t>
        </is>
      </c>
      <c r="G43" s="13" t="inlineStr">
        <is>
          <t>Imperial Moto</t>
        </is>
      </c>
      <c r="H43" s="13" t="inlineStr">
        <is>
          <t>food</t>
        </is>
      </c>
      <c r="I43" s="13" t="inlineStr">
        <is>
          <t>easy</t>
        </is>
      </c>
      <c r="J43" s="16" t="n">
        <v>50</v>
      </c>
      <c r="K43" s="16" t="n">
        <v>25</v>
      </c>
      <c r="L43" s="13" t="inlineStr">
        <is>
          <t>5–10 min</t>
        </is>
      </c>
      <c r="M43" s="17" t="inlineStr">
        <is>
          <t>Find Imperial Moto's Little River headquarters and photograph the most motorcycle thing you can find.</t>
        </is>
      </c>
      <c r="N43" s="17" t="inlineStr">
        <is>
          <t>Do a subtle engine rev with your wrist as you walk in. Vroom responsibly.</t>
        </is>
      </c>
      <c r="O43" s="17" t="inlineStr">
        <is>
          <t>Imperial Moto's headquarters sits in Little River — not Wynwood, as many assume — and it's the flagship of a café brand that has ridden all the way to Aventura and St. Barths. Motorcycles and espresso, together at last.</t>
        </is>
      </c>
      <c r="P43" s="7" t="inlineStr">
        <is>
          <t>active</t>
        </is>
      </c>
      <c r="Q43" s="15" t="inlineStr">
        <is>
          <t>Website</t>
        </is>
      </c>
      <c r="R43" s="15" t="inlineStr">
        <is>
          <t>Google Reviews</t>
        </is>
      </c>
      <c r="S43" s="13" t="inlineStr">
        <is>
          <t>google</t>
        </is>
      </c>
      <c r="T43" s="15" t="inlineStr">
        <is>
          <t>Instagram</t>
        </is>
      </c>
      <c r="U43" s="13" t="inlineStr">
        <is>
          <t>other</t>
        </is>
      </c>
      <c r="V43" s="13" t="inlineStr">
        <is>
          <t>IMPERIAL-MOTO-LITTLE-RIVER</t>
        </is>
      </c>
      <c r="W43" s="13" t="inlineStr">
        <is>
          <t>/q/8126cef6-7957-58f4-8dc1-c1cf747fcc8e</t>
        </is>
      </c>
      <c r="X43" s="12" t="inlineStr">
        <is>
          <t>Needs Sourcing</t>
        </is>
      </c>
      <c r="Y43" s="12" t="inlineStr">
        <is>
          <t>Needs Sourcing</t>
        </is>
      </c>
    </row>
    <row r="44" ht="49" customHeight="1">
      <c r="A44" s="6" t="inlineStr">
        <is>
          <t>57d5ab07-74a4-5c75-a84d-dbe548785c99</t>
        </is>
      </c>
      <c r="B44" s="6" t="inlineStr">
        <is>
          <t>fcefd477-6443-56d6-b6d4-4289c667c4cd</t>
        </is>
      </c>
      <c r="C44" s="6" t="inlineStr">
        <is>
          <t>eae8f3ad-d463-5c4a-95a1-4bdb0aca1474</t>
        </is>
      </c>
      <c r="D44" s="6" t="inlineStr">
        <is>
          <t>plant-the-future-little-river</t>
        </is>
      </c>
      <c r="E44" s="6" t="inlineStr">
        <is>
          <t>The Gas Station That Grew</t>
        </is>
      </c>
      <c r="F44" s="6" t="inlineStr">
        <is>
          <t>Plant the Future</t>
        </is>
      </c>
      <c r="G44" s="6" t="inlineStr">
        <is>
          <t>Plant the Future</t>
        </is>
      </c>
      <c r="H44" s="6" t="inlineStr">
        <is>
          <t>art</t>
        </is>
      </c>
      <c r="I44" s="6" t="inlineStr">
        <is>
          <t>medium</t>
        </is>
      </c>
      <c r="J44" s="10" t="n">
        <v>150</v>
      </c>
      <c r="K44" s="10" t="n">
        <v>75</v>
      </c>
      <c r="L44" s="6" t="inlineStr">
        <is>
          <t>10–15 min</t>
        </is>
      </c>
      <c r="M44" s="11" t="inlineStr">
        <is>
          <t>Find the converted gas station on NE 2nd Ave and photograph the spot where art and plants blur together completely.</t>
        </is>
      </c>
      <c r="N44" s="11" t="inlineStr">
        <is>
          <t>Visually adopt one plant, name it, and record the adoption in your Community Note.</t>
        </is>
      </c>
      <c r="O44" s="11" t="inlineStr">
        <is>
          <t>Artist Paloma Teppa turned a 1960s gas station on the banks of the Little River into a biophilic art studio and gallery. Where fuel pumps once stood, a small indoor jungle now runs the place.</t>
        </is>
      </c>
      <c r="P44" s="7" t="inlineStr">
        <is>
          <t>active</t>
        </is>
      </c>
      <c r="Q44" s="9" t="inlineStr">
        <is>
          <t>Website</t>
        </is>
      </c>
      <c r="R44" s="9" t="inlineStr">
        <is>
          <t>Google Reviews</t>
        </is>
      </c>
      <c r="S44" s="6" t="inlineStr">
        <is>
          <t>google</t>
        </is>
      </c>
      <c r="T44" s="9" t="inlineStr">
        <is>
          <t>Instagram</t>
        </is>
      </c>
      <c r="U44" s="6" t="inlineStr">
        <is>
          <t>other</t>
        </is>
      </c>
      <c r="V44" s="6" t="inlineStr">
        <is>
          <t>PLANT-THE-FUTURE-LITTLE-RIVER</t>
        </is>
      </c>
      <c r="W44" s="6" t="inlineStr">
        <is>
          <t>/q/57d5ab07-74a4-5c75-a84d-dbe548785c99</t>
        </is>
      </c>
      <c r="X44" s="12" t="inlineStr">
        <is>
          <t>Needs Sourcing</t>
        </is>
      </c>
      <c r="Y44" s="12" t="inlineStr">
        <is>
          <t>Needs Sourcing</t>
        </is>
      </c>
    </row>
    <row r="45" ht="49" customHeight="1">
      <c r="A45" s="13" t="inlineStr">
        <is>
          <t>e80da8a5-6380-505e-9246-d6fa2f2af0a4</t>
        </is>
      </c>
      <c r="B45" s="13" t="inlineStr">
        <is>
          <t>11b2fa14-eb93-5809-b4ef-73be47f08d91</t>
        </is>
      </c>
      <c r="C45" s="13" t="inlineStr">
        <is>
          <t>ab1faa46-f085-5e74-96b1-13091b98a1e6</t>
        </is>
      </c>
      <c r="D45" s="13" t="inlineStr">
        <is>
          <t>lagniappe-house-midtown</t>
        </is>
      </c>
      <c r="E45" s="13" t="inlineStr">
        <is>
          <t>A Little Something Extra</t>
        </is>
      </c>
      <c r="F45" s="13" t="inlineStr">
        <is>
          <t>Lagniappe</t>
        </is>
      </c>
      <c r="G45" s="13" t="inlineStr">
        <is>
          <t>Lagniappe House</t>
        </is>
      </c>
      <c r="H45" s="13" t="inlineStr">
        <is>
          <t>nightlife</t>
        </is>
      </c>
      <c r="I45" s="13" t="inlineStr">
        <is>
          <t>medium</t>
        </is>
      </c>
      <c r="J45" s="16" t="n">
        <v>150</v>
      </c>
      <c r="K45" s="16" t="n">
        <v>75</v>
      </c>
      <c r="L45" s="13" t="inlineStr">
        <is>
          <t>15–20 min</t>
        </is>
      </c>
      <c r="M45" s="17" t="inlineStr">
        <is>
          <t>Explore the house, find the garden, and settle in. Photograph your spot.</t>
        </is>
      </c>
      <c r="N45" s="17" t="inlineStr">
        <is>
          <t>Use 'lagniappe' in a sentence on your way out. Bonus points if it lands naturally.</t>
        </is>
      </c>
      <c r="O45" s="17" t="inlineStr">
        <is>
          <t>'Lagniappe' is an old Louisiana word for a little unexpected bonus — and this award-winning wine bar and jazz house on the Wynwood-Edgewater border lives up to it, all the way to the garden out back.</t>
        </is>
      </c>
      <c r="P45" s="7" t="inlineStr">
        <is>
          <t>active</t>
        </is>
      </c>
      <c r="Q45" s="15" t="inlineStr">
        <is>
          <t>Website</t>
        </is>
      </c>
      <c r="R45" s="15" t="inlineStr">
        <is>
          <t>Google Reviews</t>
        </is>
      </c>
      <c r="S45" s="13" t="inlineStr">
        <is>
          <t>yelp</t>
        </is>
      </c>
      <c r="T45" s="15" t="inlineStr">
        <is>
          <t>Instagram</t>
        </is>
      </c>
      <c r="U45" s="13" t="inlineStr">
        <is>
          <t>other</t>
        </is>
      </c>
      <c r="V45" s="13" t="inlineStr">
        <is>
          <t>LAGNIAPPE-HOUSE-MIDTOWN</t>
        </is>
      </c>
      <c r="W45" s="13" t="inlineStr">
        <is>
          <t>/q/e80da8a5-6380-505e-9246-d6fa2f2af0a4</t>
        </is>
      </c>
      <c r="X45" s="12" t="inlineStr">
        <is>
          <t>Needs Sourcing</t>
        </is>
      </c>
      <c r="Y45" s="12" t="inlineStr">
        <is>
          <t>Needs Sourcing</t>
        </is>
      </c>
    </row>
    <row r="46" ht="49" customHeight="1">
      <c r="A46" s="6" t="inlineStr">
        <is>
          <t>6f78cab4-49e2-5ad2-b540-b9b05ee13985</t>
        </is>
      </c>
      <c r="B46" s="6" t="inlineStr">
        <is>
          <t>6cb7bcbb-c52f-5dd0-bc00-580e92d8f786</t>
        </is>
      </c>
      <c r="C46" s="6" t="inlineStr">
        <is>
          <t>636d6c24-dd1c-57b7-9b79-94481e239b2b</t>
        </is>
      </c>
      <c r="D46" s="6" t="inlineStr">
        <is>
          <t>miami-worldcenter</t>
        </is>
      </c>
      <c r="E46" s="6" t="inlineStr">
        <is>
          <t>City Under Construction</t>
        </is>
      </c>
      <c r="F46" s="6" t="inlineStr">
        <is>
          <t>Miami Worldcenter</t>
        </is>
      </c>
      <c r="G46" s="6" t="inlineStr">
        <is>
          <t>Miami Worldcenter</t>
        </is>
      </c>
      <c r="H46" s="6" t="inlineStr">
        <is>
          <t>shopping</t>
        </is>
      </c>
      <c r="I46" s="6" t="inlineStr">
        <is>
          <t>easy</t>
        </is>
      </c>
      <c r="J46" s="10" t="n">
        <v>50</v>
      </c>
      <c r="K46" s="10" t="n">
        <v>25</v>
      </c>
      <c r="L46" s="6" t="inlineStr">
        <is>
          <t>10–15 min</t>
        </is>
      </c>
      <c r="M46" s="11" t="inlineStr">
        <is>
          <t>Walk Miami Worldcenter's new blocks and photograph old Miami and new Miami in a single frame.</t>
        </is>
      </c>
      <c r="N46" s="11" t="inlineStr">
        <is>
          <t>Record a five-second voice memo predicting what this block looks like in ten years.</t>
        </is>
      </c>
      <c r="O46" s="11" t="inlineStr">
        <is>
          <t>Ten blocks of Park West being rebuilt into a brand-new district — towers, promenades and street-level retail rising in real time. Walk it now and you'll be able to say you saw it happen.</t>
        </is>
      </c>
      <c r="P46" s="7" t="inlineStr">
        <is>
          <t>active</t>
        </is>
      </c>
      <c r="Q46" s="9" t="inlineStr">
        <is>
          <t>Website</t>
        </is>
      </c>
      <c r="R46" s="9" t="inlineStr">
        <is>
          <t>Google Reviews</t>
        </is>
      </c>
      <c r="S46" s="6" t="inlineStr">
        <is>
          <t>google</t>
        </is>
      </c>
      <c r="T46" s="9" t="inlineStr">
        <is>
          <t>Instagram</t>
        </is>
      </c>
      <c r="U46" s="6" t="inlineStr">
        <is>
          <t>other</t>
        </is>
      </c>
      <c r="V46" s="6" t="inlineStr">
        <is>
          <t>MIAMI-WORLDCENTER</t>
        </is>
      </c>
      <c r="W46" s="6" t="inlineStr">
        <is>
          <t>/q/6f78cab4-49e2-5ad2-b540-b9b05ee13985</t>
        </is>
      </c>
      <c r="X46" s="12" t="inlineStr">
        <is>
          <t>Needs Sourcing</t>
        </is>
      </c>
      <c r="Y46" s="12" t="inlineStr">
        <is>
          <t>Needs Sourcing</t>
        </is>
      </c>
    </row>
    <row r="47" ht="34" customHeight="1">
      <c r="A47" s="13" t="inlineStr">
        <is>
          <t>8e77ef26-b4ac-574b-9b46-06a276d7577e</t>
        </is>
      </c>
      <c r="B47" s="13" t="inlineStr">
        <is>
          <t>3d6e479e-6ef9-5cfd-bbc8-021de95e8ff5</t>
        </is>
      </c>
      <c r="C47" s="13" t="inlineStr">
        <is>
          <t>2f64ad78-af59-54c1-897e-9ae076b0fbeb</t>
        </is>
      </c>
      <c r="D47" s="13" t="inlineStr">
        <is>
          <t>brewing-buddha-pinecrest</t>
        </is>
      </c>
      <c r="E47" s="13" t="inlineStr">
        <is>
          <t>The Buddha's Gallery</t>
        </is>
      </c>
      <c r="F47" s="13" t="inlineStr">
        <is>
          <t>Brewing Buddha Cafe &amp; Arthouse</t>
        </is>
      </c>
      <c r="G47" s="13" t="inlineStr">
        <is>
          <t>Brewing Buddha Cafe &amp; Arthouse</t>
        </is>
      </c>
      <c r="H47" s="13" t="inlineStr">
        <is>
          <t>food</t>
        </is>
      </c>
      <c r="I47" s="13" t="inlineStr">
        <is>
          <t>easy</t>
        </is>
      </c>
      <c r="J47" s="16" t="n">
        <v>50</v>
      </c>
      <c r="K47" s="16" t="n">
        <v>25</v>
      </c>
      <c r="L47" s="13" t="inlineStr">
        <is>
          <t>5–10 min</t>
        </is>
      </c>
      <c r="M47" s="17" t="inlineStr">
        <is>
          <t>Explore the arthouse side of the café and photograph the artwork that speaks to you most.</t>
        </is>
      </c>
      <c r="N47" s="17" t="inlineStr">
        <is>
          <t>Hold a ten-second zen pose in front of your favorite piece.</t>
        </is>
      </c>
      <c r="O47" s="17" t="inlineStr">
        <is>
          <t>Brothers Jordan and Cassidy Athos opened this café-meets-arthouse in Pinecrest in 2017. Half the room runs on caffeine, the other half on creativity — explore both.</t>
        </is>
      </c>
      <c r="P47" s="7" t="inlineStr">
        <is>
          <t>active</t>
        </is>
      </c>
      <c r="Q47" s="15" t="inlineStr">
        <is>
          <t>Website</t>
        </is>
      </c>
      <c r="R47" s="15" t="inlineStr">
        <is>
          <t>Google Reviews</t>
        </is>
      </c>
      <c r="S47" s="13" t="inlineStr">
        <is>
          <t>google</t>
        </is>
      </c>
      <c r="T47" s="15" t="inlineStr">
        <is>
          <t>Instagram</t>
        </is>
      </c>
      <c r="U47" s="13" t="inlineStr">
        <is>
          <t>other</t>
        </is>
      </c>
      <c r="V47" s="13" t="inlineStr">
        <is>
          <t>BREWING-BUDDHA-PINECREST</t>
        </is>
      </c>
      <c r="W47" s="13" t="inlineStr">
        <is>
          <t>/q/8e77ef26-b4ac-574b-9b46-06a276d7577e</t>
        </is>
      </c>
      <c r="X47" s="12" t="inlineStr">
        <is>
          <t>Needs Sourcing</t>
        </is>
      </c>
      <c r="Y47" s="12" t="inlineStr">
        <is>
          <t>Needs Sourcing</t>
        </is>
      </c>
    </row>
    <row r="48" ht="49" customHeight="1">
      <c r="A48" s="6" t="inlineStr">
        <is>
          <t>2cf2cdf4-9828-5d73-8869-143b1633a9e3</t>
        </is>
      </c>
      <c r="B48" s="6" t="inlineStr">
        <is>
          <t>54bb0aa7-790f-58ab-bd49-d78682d5f3ab</t>
        </is>
      </c>
      <c r="C48" s="6" t="inlineStr">
        <is>
          <t>3b919211-a15b-5f8e-8280-4abffe96d876</t>
        </is>
      </c>
      <c r="D48" s="6" t="inlineStr">
        <is>
          <t>bodega-taqueria-south-beach</t>
        </is>
      </c>
      <c r="E48" s="6" t="inlineStr">
        <is>
          <t>The Porta-Potty Portal</t>
        </is>
      </c>
      <c r="F48" s="6" t="inlineStr">
        <is>
          <t>Bodega Taqueria y Tequila South Beach (Hidden Speakeasy)</t>
        </is>
      </c>
      <c r="G48" s="6" t="inlineStr">
        <is>
          <t>Bodega Taqueria y Tequila</t>
        </is>
      </c>
      <c r="H48" s="6" t="inlineStr">
        <is>
          <t>hidden_gem</t>
        </is>
      </c>
      <c r="I48" s="6" t="inlineStr">
        <is>
          <t>medium</t>
        </is>
      </c>
      <c r="J48" s="10" t="n">
        <v>150</v>
      </c>
      <c r="K48" s="10" t="n">
        <v>75</v>
      </c>
      <c r="L48" s="6" t="inlineStr">
        <is>
          <t>10–15 min</t>
        </is>
      </c>
      <c r="M48" s="11" t="inlineStr">
        <is>
          <t>Find the fake porta-potty door inside Bodega and discover what's behind it. Photograph the door — leave what's beyond it a mystery.</t>
        </is>
      </c>
      <c r="N48" s="11" t="inlineStr">
        <is>
          <t>Walk in acting completely casual. Fail completely.</t>
        </is>
      </c>
      <c r="O48" s="11" t="inlineStr">
        <is>
          <t>By day it reads as a taqueria. But since 2014, South Beach regulars have known the truth: somewhere inside stands a fake porta-potty door, and behind it, a hidden bar. Yes, really. No, not a real porta-potty. Go find it.</t>
        </is>
      </c>
      <c r="P48" s="7" t="inlineStr">
        <is>
          <t>active</t>
        </is>
      </c>
      <c r="Q48" s="9" t="inlineStr">
        <is>
          <t>Website</t>
        </is>
      </c>
      <c r="R48" s="9" t="inlineStr">
        <is>
          <t>Google Reviews</t>
        </is>
      </c>
      <c r="S48" s="6" t="inlineStr">
        <is>
          <t>google</t>
        </is>
      </c>
      <c r="T48" s="9" t="inlineStr">
        <is>
          <t>Instagram</t>
        </is>
      </c>
      <c r="U48" s="6" t="inlineStr">
        <is>
          <t>other</t>
        </is>
      </c>
      <c r="V48" s="6" t="inlineStr">
        <is>
          <t>BODEGA-TAQUERIA-SOUTH-BEACH</t>
        </is>
      </c>
      <c r="W48" s="6" t="inlineStr">
        <is>
          <t>/q/2cf2cdf4-9828-5d73-8869-143b1633a9e3</t>
        </is>
      </c>
      <c r="X48" s="12" t="inlineStr">
        <is>
          <t>Needs Sourcing</t>
        </is>
      </c>
      <c r="Y48" s="12" t="inlineStr">
        <is>
          <t>Needs Sourcing</t>
        </is>
      </c>
    </row>
    <row r="49" ht="49" customHeight="1">
      <c r="A49" s="13" t="inlineStr">
        <is>
          <t>ae7a8290-897f-5083-af13-c75ce4b3f143</t>
        </is>
      </c>
      <c r="B49" s="13" t="inlineStr">
        <is>
          <t>d55e37b0-a95c-5b5a-a7dc-8fbfc86e2401</t>
        </is>
      </c>
      <c r="C49" s="13" t="inlineStr">
        <is>
          <t>e3910d7b-7879-5b99-91f5-b802abb6f486</t>
        </is>
      </c>
      <c r="D49" s="13" t="inlineStr">
        <is>
          <t>broken-shaker-miami-beach</t>
        </is>
      </c>
      <c r="E49" s="13" t="inlineStr">
        <is>
          <t>The Pop-Up That Stayed</t>
        </is>
      </c>
      <c r="F49" s="13" t="inlineStr">
        <is>
          <t>Broken Shaker at Freehand Miami</t>
        </is>
      </c>
      <c r="G49" s="13" t="inlineStr">
        <is>
          <t>Broken Shaker</t>
        </is>
      </c>
      <c r="H49" s="13" t="inlineStr">
        <is>
          <t>nightlife</t>
        </is>
      </c>
      <c r="I49" s="13" t="inlineStr">
        <is>
          <t>medium</t>
        </is>
      </c>
      <c r="J49" s="16" t="n">
        <v>150</v>
      </c>
      <c r="K49" s="16" t="n">
        <v>75</v>
      </c>
      <c r="L49" s="13" t="inlineStr">
        <is>
          <t>15–20 min</t>
        </is>
      </c>
      <c r="M49" s="17" t="inlineStr">
        <is>
          <t>Find the Broken Shaker inside the Freehand and settle into the bar that refused to be temporary. Capture your spot.</t>
        </is>
      </c>
      <c r="N49" s="17" t="inlineStr">
        <is>
          <t>Raise a toast to every pop-up that outlived its own concept.</t>
        </is>
      </c>
      <c r="O49" s="17" t="inlineStr">
        <is>
          <t>It started as a pop-up in 2012 inside the Freehand Miami — then earned a James Beard semifinalist nod and simply never left. Some experiments succeed so hard they become institutions.</t>
        </is>
      </c>
      <c r="P49" s="7" t="inlineStr">
        <is>
          <t>active</t>
        </is>
      </c>
      <c r="Q49" s="15" t="inlineStr">
        <is>
          <t>Website</t>
        </is>
      </c>
      <c r="R49" s="15" t="inlineStr">
        <is>
          <t>Google Reviews</t>
        </is>
      </c>
      <c r="S49" s="13" t="inlineStr">
        <is>
          <t>google</t>
        </is>
      </c>
      <c r="T49" s="15" t="inlineStr">
        <is>
          <t>Instagram</t>
        </is>
      </c>
      <c r="U49" s="13" t="inlineStr">
        <is>
          <t>other</t>
        </is>
      </c>
      <c r="V49" s="13" t="inlineStr">
        <is>
          <t>BROKEN-SHAKER-MIAMI-BEACH</t>
        </is>
      </c>
      <c r="W49" s="13" t="inlineStr">
        <is>
          <t>/q/ae7a8290-897f-5083-af13-c75ce4b3f143</t>
        </is>
      </c>
      <c r="X49" s="12" t="inlineStr">
        <is>
          <t>Needs Sourcing</t>
        </is>
      </c>
      <c r="Y49" s="12" t="inlineStr">
        <is>
          <t>Needs Sourcing</t>
        </is>
      </c>
    </row>
    <row r="50" ht="49" customHeight="1">
      <c r="A50" s="6" t="inlineStr">
        <is>
          <t>6622b17b-0661-580c-ab70-c063ff7be528</t>
        </is>
      </c>
      <c r="B50" s="6" t="inlineStr">
        <is>
          <t>6326d75b-8ddf-5b94-8d81-23ff2f889552</t>
        </is>
      </c>
      <c r="C50" s="6" t="inlineStr">
        <is>
          <t>833529ce-a8c6-5ed7-8bf4-4fe76647d01d</t>
        </is>
      </c>
      <c r="D50" s="6" t="inlineStr">
        <is>
          <t>espanola-way</t>
        </is>
      </c>
      <c r="E50" s="6" t="inlineStr">
        <is>
          <t>The Spanish Detour</t>
        </is>
      </c>
      <c r="F50" s="6" t="inlineStr">
        <is>
          <t>Española Way</t>
        </is>
      </c>
      <c r="G50" s="6" t="inlineStr">
        <is>
          <t>Española Way</t>
        </is>
      </c>
      <c r="H50" s="6" t="inlineStr">
        <is>
          <t>culture</t>
        </is>
      </c>
      <c r="I50" s="6" t="inlineStr">
        <is>
          <t>easy</t>
        </is>
      </c>
      <c r="J50" s="10" t="n">
        <v>50</v>
      </c>
      <c r="K50" s="10" t="n">
        <v>25</v>
      </c>
      <c r="L50" s="6" t="inlineStr">
        <is>
          <t>5–10 min</t>
        </is>
      </c>
      <c r="M50" s="11" t="inlineStr">
        <is>
          <t>Wander Española Way and photograph the detail that feels imported straight from the Mediterranean.</t>
        </is>
      </c>
      <c r="N50" s="11" t="inlineStr">
        <is>
          <t>Bid the street 'buenas noches' when you leave — time of day irrelevant.</t>
        </is>
      </c>
      <c r="O50" s="11" t="inlineStr">
        <is>
          <t>A historic Mediterranean-style pedestrian street tucked between Washington and Drexel, freshly restored and permanently unhurried. Two blocks of South Beach that decided to be Spain instead.</t>
        </is>
      </c>
      <c r="P50" s="7" t="inlineStr">
        <is>
          <t>active</t>
        </is>
      </c>
      <c r="Q50" s="9" t="inlineStr">
        <is>
          <t>Website</t>
        </is>
      </c>
      <c r="R50" s="9" t="inlineStr">
        <is>
          <t>Google Reviews</t>
        </is>
      </c>
      <c r="S50" s="6" t="inlineStr">
        <is>
          <t>google</t>
        </is>
      </c>
      <c r="T50" s="9" t="inlineStr">
        <is>
          <t>Instagram</t>
        </is>
      </c>
      <c r="U50" s="6" t="inlineStr">
        <is>
          <t>other</t>
        </is>
      </c>
      <c r="V50" s="6" t="inlineStr">
        <is>
          <t>ESPANOLA-WAY</t>
        </is>
      </c>
      <c r="W50" s="6" t="inlineStr">
        <is>
          <t>/q/6622b17b-0661-580c-ab70-c063ff7be528</t>
        </is>
      </c>
      <c r="X50" s="12" t="inlineStr">
        <is>
          <t>Needs Sourcing</t>
        </is>
      </c>
      <c r="Y50" s="12" t="inlineStr">
        <is>
          <t>Needs Sourcing</t>
        </is>
      </c>
    </row>
    <row r="51" ht="49" customHeight="1">
      <c r="A51" s="13" t="inlineStr">
        <is>
          <t>3f5adf54-783c-5f9d-b1a5-0816fbea53ef</t>
        </is>
      </c>
      <c r="B51" s="13" t="inlineStr">
        <is>
          <t>97c960d0-55e2-5fcf-be27-e5c1dc78f58d</t>
        </is>
      </c>
      <c r="C51" s="13" t="inlineStr">
        <is>
          <t>fd491c98-f9f9-55df-bdd2-524064c0cf50</t>
        </is>
      </c>
      <c r="D51" s="13" t="inlineStr">
        <is>
          <t>lummus-park-south-beach</t>
        </is>
      </c>
      <c r="E51" s="13" t="inlineStr">
        <is>
          <t>Postcard Row</t>
        </is>
      </c>
      <c r="F51" s="13" t="inlineStr">
        <is>
          <t>Lummus Park</t>
        </is>
      </c>
      <c r="G51" s="13" t="inlineStr">
        <is>
          <t>Lummus Park</t>
        </is>
      </c>
      <c r="H51" s="13" t="inlineStr">
        <is>
          <t>outdoors</t>
        </is>
      </c>
      <c r="I51" s="13" t="inlineStr">
        <is>
          <t>easy</t>
        </is>
      </c>
      <c r="J51" s="16" t="n">
        <v>50</v>
      </c>
      <c r="K51" s="16" t="n">
        <v>25</v>
      </c>
      <c r="L51" s="13" t="inlineStr">
        <is>
          <t>10–15 min</t>
        </is>
      </c>
      <c r="M51" s="17" t="inlineStr">
        <is>
          <t>Walk the stretch where Lummus Park's palms meet the Art Deco skyline and capture the most Miami photo possible.</t>
        </is>
      </c>
      <c r="N51" s="17" t="inlineStr">
        <is>
          <t>Add a flamingo pose. One leg. You know the one.</t>
        </is>
      </c>
      <c r="O51" s="17" t="inlineStr">
        <is>
          <t>Seventy-four acres of oceanfront park running along Ocean Drive through the Art Deco Historic District. Palms on one side, pastel architecture on the other — the most photographed stretch of Miami Beach, waiting for your version.</t>
        </is>
      </c>
      <c r="P51" s="7" t="inlineStr">
        <is>
          <t>active</t>
        </is>
      </c>
      <c r="Q51" s="15" t="inlineStr">
        <is>
          <t>Website</t>
        </is>
      </c>
      <c r="R51" s="15" t="inlineStr">
        <is>
          <t>Google Reviews</t>
        </is>
      </c>
      <c r="S51" s="13" t="inlineStr">
        <is>
          <t>google</t>
        </is>
      </c>
      <c r="T51" s="15" t="inlineStr">
        <is>
          <t>Instagram</t>
        </is>
      </c>
      <c r="U51" s="13" t="inlineStr">
        <is>
          <t>other</t>
        </is>
      </c>
      <c r="V51" s="13" t="inlineStr">
        <is>
          <t>LUMMUS-PARK-SOUTH-BEACH</t>
        </is>
      </c>
      <c r="W51" s="13" t="inlineStr">
        <is>
          <t>/q/3f5adf54-783c-5f9d-b1a5-0816fbea53ef</t>
        </is>
      </c>
      <c r="X51" s="12" t="inlineStr">
        <is>
          <t>Needs Sourcing</t>
        </is>
      </c>
      <c r="Y51" s="12" t="inlineStr">
        <is>
          <t>Needs Sourcing</t>
        </is>
      </c>
    </row>
    <row r="52" ht="34" customHeight="1">
      <c r="A52" s="6" t="inlineStr">
        <is>
          <t>5efb7510-e755-5182-9b2d-3dd1de150abc</t>
        </is>
      </c>
      <c r="B52" s="6" t="inlineStr">
        <is>
          <t>63e9ec9b-9501-591a-a857-cbe5053a3434</t>
        </is>
      </c>
      <c r="C52" s="6" t="inlineStr">
        <is>
          <t>c52d5929-de1b-5d2c-bc9d-84564c78a487</t>
        </is>
      </c>
      <c r="D52" s="6" t="inlineStr">
        <is>
          <t>macs-club-deuce</t>
        </is>
      </c>
      <c r="E52" s="6" t="inlineStr">
        <is>
          <t>The Hundred-Year Dive</t>
        </is>
      </c>
      <c r="F52" s="6" t="inlineStr">
        <is>
          <t>Mac's Club Deuce</t>
        </is>
      </c>
      <c r="G52" s="6" t="inlineStr">
        <is>
          <t>Mac's Club Deuce</t>
        </is>
      </c>
      <c r="H52" s="6" t="inlineStr">
        <is>
          <t>nightlife</t>
        </is>
      </c>
      <c r="I52" s="6" t="inlineStr">
        <is>
          <t>medium</t>
        </is>
      </c>
      <c r="J52" s="10" t="n">
        <v>150</v>
      </c>
      <c r="K52" s="10" t="n">
        <v>75</v>
      </c>
      <c r="L52" s="6" t="inlineStr">
        <is>
          <t>10–15 min</t>
        </is>
      </c>
      <c r="M52" s="11" t="inlineStr">
        <is>
          <t>Step into Mac's Club Deuce and salute the century. Capture proof you stood in Miami's oldest bar. Bring cash — that's the house rule.</t>
        </is>
      </c>
      <c r="N52" s="11" t="inlineStr">
        <is>
          <t>Ask yourself what this room has seen in 100 years. Put your best guess in a Community Note.</t>
        </is>
      </c>
      <c r="O52" s="11" t="inlineStr">
        <is>
          <t>Established 1926: Miami Beach's oldest bar turns one hundred this year. Cash only, no pretense, beloved by Anthony Bourdain — a century of South Beach history in one room.</t>
        </is>
      </c>
      <c r="P52" s="7" t="inlineStr">
        <is>
          <t>active</t>
        </is>
      </c>
      <c r="Q52" s="9" t="inlineStr">
        <is>
          <t>Website</t>
        </is>
      </c>
      <c r="R52" s="9" t="inlineStr">
        <is>
          <t>Google Reviews</t>
        </is>
      </c>
      <c r="S52" s="6" t="inlineStr">
        <is>
          <t>google</t>
        </is>
      </c>
      <c r="T52" s="9" t="inlineStr">
        <is>
          <t>Instagram</t>
        </is>
      </c>
      <c r="U52" s="6" t="inlineStr">
        <is>
          <t>other</t>
        </is>
      </c>
      <c r="V52" s="6" t="inlineStr">
        <is>
          <t>MACS-CLUB-DEUCE</t>
        </is>
      </c>
      <c r="W52" s="6" t="inlineStr">
        <is>
          <t>/q/5efb7510-e755-5182-9b2d-3dd1de150abc</t>
        </is>
      </c>
      <c r="X52" s="12" t="inlineStr">
        <is>
          <t>Needs Sourcing</t>
        </is>
      </c>
      <c r="Y52" s="12" t="inlineStr">
        <is>
          <t>Needs Sourcing</t>
        </is>
      </c>
    </row>
    <row r="53" ht="34" customHeight="1">
      <c r="A53" s="13" t="inlineStr">
        <is>
          <t>3cef83c3-7d8d-5f7b-b122-7af4a8e08b6f</t>
        </is>
      </c>
      <c r="B53" s="13" t="inlineStr">
        <is>
          <t>7a0964cc-7ec6-5a79-b2e8-45474df501c2</t>
        </is>
      </c>
      <c r="C53" s="13" t="inlineStr">
        <is>
          <t>013760c2-e7bc-5bc6-8226-a0887e82c453</t>
        </is>
      </c>
      <c r="D53" s="13" t="inlineStr">
        <is>
          <t>rosetta-bakery-south-beach</t>
        </is>
      </c>
      <c r="E53" s="13" t="inlineStr">
        <is>
          <t>La Dolce Collins</t>
        </is>
      </c>
      <c r="F53" s="13" t="inlineStr">
        <is>
          <t>Rosetta Bakery - South Beach</t>
        </is>
      </c>
      <c r="G53" s="13" t="inlineStr">
        <is>
          <t>Rosetta Bakery</t>
        </is>
      </c>
      <c r="H53" s="13" t="inlineStr">
        <is>
          <t>food</t>
        </is>
      </c>
      <c r="I53" s="13" t="inlineStr">
        <is>
          <t>easy</t>
        </is>
      </c>
      <c r="J53" s="16" t="n">
        <v>50</v>
      </c>
      <c r="K53" s="16" t="n">
        <v>25</v>
      </c>
      <c r="L53" s="13" t="inlineStr">
        <is>
          <t>5–10 min</t>
        </is>
      </c>
      <c r="M53" s="17" t="inlineStr">
        <is>
          <t>Study the pastry counter and photograph the most Italian thing in the case.</t>
        </is>
      </c>
      <c r="N53" s="17" t="inlineStr">
        <is>
          <t>Whisper 'che bello' at the pastry case like you truly mean it.</t>
        </is>
      </c>
      <c r="O53" s="17" t="inlineStr">
        <is>
          <t>An Italian bakery holding its corner of Collins Avenue since 2015, steps from Lincoln Road. The pastry case is the exhibit; admission is free.</t>
        </is>
      </c>
      <c r="P53" s="7" t="inlineStr">
        <is>
          <t>active</t>
        </is>
      </c>
      <c r="Q53" s="15" t="inlineStr">
        <is>
          <t>Website</t>
        </is>
      </c>
      <c r="R53" s="15" t="inlineStr">
        <is>
          <t>Google Reviews</t>
        </is>
      </c>
      <c r="S53" s="13" t="inlineStr">
        <is>
          <t>google</t>
        </is>
      </c>
      <c r="T53" s="15" t="inlineStr">
        <is>
          <t>Instagram</t>
        </is>
      </c>
      <c r="U53" s="13" t="inlineStr">
        <is>
          <t>other</t>
        </is>
      </c>
      <c r="V53" s="13" t="inlineStr">
        <is>
          <t>ROSETTA-BAKERY-SOUTH-BEACH</t>
        </is>
      </c>
      <c r="W53" s="13" t="inlineStr">
        <is>
          <t>/q/3cef83c3-7d8d-5f7b-b122-7af4a8e08b6f</t>
        </is>
      </c>
      <c r="X53" s="12" t="inlineStr">
        <is>
          <t>Needs Sourcing</t>
        </is>
      </c>
      <c r="Y53" s="12" t="inlineStr">
        <is>
          <t>Needs Sourcing</t>
        </is>
      </c>
    </row>
    <row r="54" ht="34" customHeight="1">
      <c r="A54" s="6" t="inlineStr">
        <is>
          <t>93a9ffe4-4e23-52b4-bb65-48ec6a292592</t>
        </is>
      </c>
      <c r="B54" s="6" t="inlineStr">
        <is>
          <t>04a443e2-13f5-5c44-b438-41d6ca8d957c</t>
        </is>
      </c>
      <c r="C54" s="6" t="inlineStr">
        <is>
          <t>b3e6fae9-38f7-52e0-a4c3-17d2e88ef2f9</t>
        </is>
      </c>
      <c r="D54" s="6" t="inlineStr">
        <is>
          <t>the-bass-south-beach</t>
        </is>
      </c>
      <c r="E54" s="6" t="inlineStr">
        <is>
          <t>Bass Notes</t>
        </is>
      </c>
      <c r="F54" s="6" t="inlineStr">
        <is>
          <t>The Bass</t>
        </is>
      </c>
      <c r="G54" s="6" t="inlineStr">
        <is>
          <t>The Bass</t>
        </is>
      </c>
      <c r="H54" s="6" t="inlineStr">
        <is>
          <t>art</t>
        </is>
      </c>
      <c r="I54" s="6" t="inlineStr">
        <is>
          <t>medium</t>
        </is>
      </c>
      <c r="J54" s="10" t="n">
        <v>150</v>
      </c>
      <c r="K54" s="10" t="n">
        <v>75</v>
      </c>
      <c r="L54" s="6" t="inlineStr">
        <is>
          <t>15–20 min</t>
        </is>
      </c>
      <c r="M54" s="11" t="inlineStr">
        <is>
          <t>Explore The Bass and photograph two things: one artwork, and one detail of the building itself.</t>
        </is>
      </c>
      <c r="N54" s="11" t="inlineStr">
        <is>
          <t>Give your favorite piece a one-word title and drop it in your Community Note.</t>
        </is>
      </c>
      <c r="O54" s="11" t="inlineStr">
        <is>
          <t>Miami Beach's contemporary art museum holds down Collins Park a couple of blocks from the sand. Ocean Drive gets the postcards; The Bass gets the ideas.</t>
        </is>
      </c>
      <c r="P54" s="7" t="inlineStr">
        <is>
          <t>active</t>
        </is>
      </c>
      <c r="Q54" s="9" t="inlineStr">
        <is>
          <t>Website</t>
        </is>
      </c>
      <c r="R54" s="9" t="inlineStr">
        <is>
          <t>Google Reviews</t>
        </is>
      </c>
      <c r="S54" s="6" t="inlineStr">
        <is>
          <t>google</t>
        </is>
      </c>
      <c r="T54" s="9" t="inlineStr">
        <is>
          <t>Instagram</t>
        </is>
      </c>
      <c r="U54" s="6" t="inlineStr">
        <is>
          <t>other</t>
        </is>
      </c>
      <c r="V54" s="6" t="inlineStr">
        <is>
          <t>THE-BASS-SOUTH-BEACH</t>
        </is>
      </c>
      <c r="W54" s="6" t="inlineStr">
        <is>
          <t>/q/93a9ffe4-4e23-52b4-bb65-48ec6a292592</t>
        </is>
      </c>
      <c r="X54" s="12" t="inlineStr">
        <is>
          <t>Needs Sourcing</t>
        </is>
      </c>
      <c r="Y54" s="12" t="inlineStr">
        <is>
          <t>Needs Sourcing</t>
        </is>
      </c>
    </row>
    <row r="55" ht="49" customHeight="1">
      <c r="A55" s="13" t="inlineStr">
        <is>
          <t>f0fcafb0-90d7-54aa-84e4-1532ed7f1801</t>
        </is>
      </c>
      <c r="B55" s="13" t="inlineStr">
        <is>
          <t>5cfc815f-9a61-529e-9c82-e27c7a4be290</t>
        </is>
      </c>
      <c r="C55" s="13" t="inlineStr">
        <is>
          <t>5474f431-39f5-5368-ae3c-087317e8bafb</t>
        </is>
      </c>
      <c r="D55" s="13" t="inlineStr">
        <is>
          <t>temple-house-south-beach</t>
        </is>
      </c>
      <c r="E55" s="13" t="inlineStr">
        <is>
          <t>Deco in Disguise</t>
        </is>
      </c>
      <c r="F55" s="13" t="inlineStr">
        <is>
          <t>The Temple House</t>
        </is>
      </c>
      <c r="G55" s="13" t="inlineStr">
        <is>
          <t>The Temple House</t>
        </is>
      </c>
      <c r="H55" s="13" t="inlineStr">
        <is>
          <t>culture</t>
        </is>
      </c>
      <c r="I55" s="13" t="inlineStr">
        <is>
          <t>easy</t>
        </is>
      </c>
      <c r="J55" s="16" t="n">
        <v>50</v>
      </c>
      <c r="K55" s="16" t="n">
        <v>25</v>
      </c>
      <c r="L55" s="13" t="inlineStr">
        <is>
          <t>5–10 min</t>
        </is>
      </c>
      <c r="M55" s="17" t="inlineStr">
        <is>
          <t>Find the 1933 Temple House on Euclid Ave and photograph its Art Deco facade from the sidewalk.</t>
        </is>
      </c>
      <c r="N55" s="17" t="inlineStr">
        <is>
          <t>Frame your shot like a 1930s postcard. Caption it 'Greetings from Miami Beach.'</t>
        </is>
      </c>
      <c r="O55" s="17" t="inlineStr">
        <is>
          <t>Architect L. Murray Dixon built this South Beach landmark in 1933; today it's a private event space hiding on quiet Euclid Avenue. You can't wander inside uninvited — but the Art Deco facade belongs to everyone.</t>
        </is>
      </c>
      <c r="P55" s="7" t="inlineStr">
        <is>
          <t>active</t>
        </is>
      </c>
      <c r="Q55" s="15" t="inlineStr">
        <is>
          <t>Website</t>
        </is>
      </c>
      <c r="R55" s="15" t="inlineStr">
        <is>
          <t>Google Reviews</t>
        </is>
      </c>
      <c r="S55" s="13" t="inlineStr">
        <is>
          <t>yelp</t>
        </is>
      </c>
      <c r="T55" s="15" t="inlineStr">
        <is>
          <t>Instagram</t>
        </is>
      </c>
      <c r="U55" s="13" t="inlineStr">
        <is>
          <t>other</t>
        </is>
      </c>
      <c r="V55" s="13" t="inlineStr">
        <is>
          <t>TEMPLE-HOUSE-SOUTH-BEACH</t>
        </is>
      </c>
      <c r="W55" s="13" t="inlineStr">
        <is>
          <t>/q/f0fcafb0-90d7-54aa-84e4-1532ed7f1801</t>
        </is>
      </c>
      <c r="X55" s="12" t="inlineStr">
        <is>
          <t>Needs Sourcing</t>
        </is>
      </c>
      <c r="Y55" s="12" t="inlineStr">
        <is>
          <t>Needs Sourcing</t>
        </is>
      </c>
    </row>
    <row r="56" ht="34" customHeight="1">
      <c r="A56" s="6" t="inlineStr">
        <is>
          <t>f8a566ab-ff32-5de0-ad1a-7230416f3f8b</t>
        </is>
      </c>
      <c r="B56" s="6" t="inlineStr">
        <is>
          <t>61027ac0-fb14-523b-8d20-8443f246e97d</t>
        </is>
      </c>
      <c r="C56" s="6" t="inlineStr">
        <is>
          <t>fed2dca2-9985-578d-bbda-5e2c59018af9</t>
        </is>
      </c>
      <c r="D56" s="6" t="inlineStr">
        <is>
          <t>under-the-mango-tree-sofi</t>
        </is>
      </c>
      <c r="E56" s="6" t="inlineStr">
        <is>
          <t>Mango State of Mind</t>
        </is>
      </c>
      <c r="F56" s="6" t="inlineStr">
        <is>
          <t>Under the Mango Tree</t>
        </is>
      </c>
      <c r="G56" s="6" t="inlineStr">
        <is>
          <t>Under the Mango Tree</t>
        </is>
      </c>
      <c r="H56" s="6" t="inlineStr">
        <is>
          <t>food</t>
        </is>
      </c>
      <c r="I56" s="6" t="inlineStr">
        <is>
          <t>easy</t>
        </is>
      </c>
      <c r="J56" s="10" t="n">
        <v>50</v>
      </c>
      <c r="K56" s="10" t="n">
        <v>25</v>
      </c>
      <c r="L56" s="6" t="inlineStr">
        <is>
          <t>5–10 min</t>
        </is>
      </c>
      <c r="M56" s="11" t="inlineStr">
        <is>
          <t>Find Under the Mango Tree just off Fifth Street and photograph whatever you think earned it the name.</t>
        </is>
      </c>
      <c r="N56" s="11" t="inlineStr">
        <is>
          <t>Point at your photo subject and declare 'that's the mango tree' with total confidence.</t>
        </is>
      </c>
      <c r="O56" s="11" t="inlineStr">
        <is>
          <t>A little South of Fifth spot with a name that promises shade, sweetness, and no hurry whatsoever. Slow down to South Beach walking pace and find out what the name means to you.</t>
        </is>
      </c>
      <c r="P56" s="7" t="inlineStr">
        <is>
          <t>active</t>
        </is>
      </c>
      <c r="Q56" s="9" t="inlineStr">
        <is>
          <t>Website</t>
        </is>
      </c>
      <c r="R56" s="9" t="inlineStr">
        <is>
          <t>Google Reviews</t>
        </is>
      </c>
      <c r="S56" s="6" t="inlineStr">
        <is>
          <t>google</t>
        </is>
      </c>
      <c r="T56" s="9" t="inlineStr">
        <is>
          <t>Instagram</t>
        </is>
      </c>
      <c r="U56" s="6" t="inlineStr">
        <is>
          <t>other</t>
        </is>
      </c>
      <c r="V56" s="6" t="inlineStr">
        <is>
          <t>UNDER-THE-MANGO-TREE-SOFI</t>
        </is>
      </c>
      <c r="W56" s="6" t="inlineStr">
        <is>
          <t>/q/f8a566ab-ff32-5de0-ad1a-7230416f3f8b</t>
        </is>
      </c>
      <c r="X56" s="12" t="inlineStr">
        <is>
          <t>Needs Sourcing</t>
        </is>
      </c>
      <c r="Y56" s="12" t="inlineStr">
        <is>
          <t>Needs Sourcing</t>
        </is>
      </c>
    </row>
    <row r="57" ht="34" customHeight="1">
      <c r="A57" s="13" t="inlineStr">
        <is>
          <t>307c71dc-ad8e-546a-89b3-7327c535d063</t>
        </is>
      </c>
      <c r="B57" s="13" t="inlineStr">
        <is>
          <t>cfb6485e-3772-5d94-82bc-64fa0865d54d</t>
        </is>
      </c>
      <c r="C57" s="13" t="inlineStr">
        <is>
          <t>b7dec364-dff7-5da4-a66c-b8b127afe2dc</t>
        </is>
      </c>
      <c r="D57" s="13" t="inlineStr">
        <is>
          <t>joia-beach-watson-island</t>
        </is>
      </c>
      <c r="E57" s="13" t="inlineStr">
        <is>
          <t>Island Detour</t>
        </is>
      </c>
      <c r="F57" s="13" t="inlineStr">
        <is>
          <t>Joia Beach Restaurant and Beach Club</t>
        </is>
      </c>
      <c r="G57" s="13" t="inlineStr">
        <is>
          <t>Joia Beach</t>
        </is>
      </c>
      <c r="H57" s="13" t="inlineStr">
        <is>
          <t>outdoors</t>
        </is>
      </c>
      <c r="I57" s="13" t="inlineStr">
        <is>
          <t>medium</t>
        </is>
      </c>
      <c r="J57" s="16" t="n">
        <v>150</v>
      </c>
      <c r="K57" s="16" t="n">
        <v>75</v>
      </c>
      <c r="L57" s="13" t="inlineStr">
        <is>
          <t>10–20 min</t>
        </is>
      </c>
      <c r="M57" s="17" t="inlineStr">
        <is>
          <t>Find your way onto Watson Island and capture the Miami skyline from Joia Beach.</t>
        </is>
      </c>
      <c r="N57" s="17" t="inlineStr">
        <is>
          <t>Shoes off for the photo. Mandatory? No. Correct? Absolutely.</t>
        </is>
      </c>
      <c r="O57" s="17" t="inlineStr">
        <is>
          <t>Watson Island hides in plain sight between Downtown and South Beach — and Joia Beach is its shoreline reward. Cross the water, slow down, and catch the skyline from the sand side.</t>
        </is>
      </c>
      <c r="P57" s="7" t="inlineStr">
        <is>
          <t>active</t>
        </is>
      </c>
      <c r="Q57" s="15" t="inlineStr">
        <is>
          <t>Website</t>
        </is>
      </c>
      <c r="R57" s="15" t="inlineStr">
        <is>
          <t>Google Reviews</t>
        </is>
      </c>
      <c r="S57" s="13" t="inlineStr">
        <is>
          <t>google</t>
        </is>
      </c>
      <c r="T57" s="15" t="inlineStr">
        <is>
          <t>Instagram</t>
        </is>
      </c>
      <c r="U57" s="13" t="inlineStr">
        <is>
          <t>other</t>
        </is>
      </c>
      <c r="V57" s="13" t="inlineStr">
        <is>
          <t>JOIA-BEACH-WATSON-ISLAND</t>
        </is>
      </c>
      <c r="W57" s="13" t="inlineStr">
        <is>
          <t>/q/307c71dc-ad8e-546a-89b3-7327c535d063</t>
        </is>
      </c>
      <c r="X57" s="12" t="inlineStr">
        <is>
          <t>Needs Sourcing</t>
        </is>
      </c>
      <c r="Y57" s="12" t="inlineStr">
        <is>
          <t>Needs Sourcing</t>
        </is>
      </c>
    </row>
    <row r="58" ht="34" customHeight="1">
      <c r="A58" s="6" t="inlineStr">
        <is>
          <t>208f2e94-7a65-5e42-b36d-4a2ea0992b46</t>
        </is>
      </c>
      <c r="B58" s="6" t="inlineStr">
        <is>
          <t>38309324-6a3f-5d8c-bc53-36939a4d3559</t>
        </is>
      </c>
      <c r="C58" s="6" t="inlineStr">
        <is>
          <t>dce8d898-6e8d-554a-9922-17d2c1326c0e</t>
        </is>
      </c>
      <c r="D58" s="6" t="inlineStr">
        <is>
          <t>jungle-island</t>
        </is>
      </c>
      <c r="E58" s="6" t="inlineStr">
        <is>
          <t>The Wild Side of Watson Island</t>
        </is>
      </c>
      <c r="F58" s="6" t="inlineStr">
        <is>
          <t>Jungle Island</t>
        </is>
      </c>
      <c r="G58" s="6" t="inlineStr">
        <is>
          <t>Jungle Island</t>
        </is>
      </c>
      <c r="H58" s="6" t="inlineStr">
        <is>
          <t>outdoors</t>
        </is>
      </c>
      <c r="I58" s="6" t="inlineStr">
        <is>
          <t>medium</t>
        </is>
      </c>
      <c r="J58" s="10" t="n">
        <v>150</v>
      </c>
      <c r="K58" s="10" t="n">
        <v>75</v>
      </c>
      <c r="L58" s="6" t="inlineStr">
        <is>
          <t>15–20 min</t>
        </is>
      </c>
      <c r="M58" s="11" t="inlineStr">
        <is>
          <t>Explore Jungle Island and photograph the most tropical resident you meet.</t>
        </is>
      </c>
      <c r="N58" s="11" t="inlineStr">
        <is>
          <t>Imitate the call of the loudest bird you hear. Commit fully.</t>
        </is>
      </c>
      <c r="O58" s="11" t="inlineStr">
        <is>
          <t>An eco-adventure park on Watson Island, minutes from Downtown and open daily. Skyscrapers on one horizon, jungle canopy on the other — Miami's weirdest, wildest border crossing.</t>
        </is>
      </c>
      <c r="P58" s="7" t="inlineStr">
        <is>
          <t>active</t>
        </is>
      </c>
      <c r="Q58" s="9" t="inlineStr">
        <is>
          <t>Website</t>
        </is>
      </c>
      <c r="R58" s="9" t="inlineStr">
        <is>
          <t>Google Reviews</t>
        </is>
      </c>
      <c r="S58" s="6" t="inlineStr">
        <is>
          <t>google</t>
        </is>
      </c>
      <c r="T58" s="9" t="inlineStr">
        <is>
          <t>Instagram</t>
        </is>
      </c>
      <c r="U58" s="6" t="inlineStr">
        <is>
          <t>other</t>
        </is>
      </c>
      <c r="V58" s="6" t="inlineStr">
        <is>
          <t>JUNGLE-ISLAND</t>
        </is>
      </c>
      <c r="W58" s="6" t="inlineStr">
        <is>
          <t>/q/208f2e94-7a65-5e42-b36d-4a2ea0992b46</t>
        </is>
      </c>
      <c r="X58" s="12" t="inlineStr">
        <is>
          <t>Needs Sourcing</t>
        </is>
      </c>
      <c r="Y58" s="12" t="inlineStr">
        <is>
          <t>Needs Sourcing</t>
        </is>
      </c>
    </row>
    <row r="59" ht="34" customHeight="1">
      <c r="A59" s="13" t="inlineStr">
        <is>
          <t>7c60b065-a84e-58da-8f06-a3f4587a8cfa</t>
        </is>
      </c>
      <c r="B59" s="13" t="inlineStr">
        <is>
          <t>53c6867a-1cd4-5474-b0b5-d72e6d52b27a</t>
        </is>
      </c>
      <c r="C59" s="13" t="inlineStr">
        <is>
          <t>8723bb30-c43e-5dd1-9c7b-a55541c17b41</t>
        </is>
      </c>
      <c r="D59" s="13" t="inlineStr">
        <is>
          <t>1800-lucky-wynwood</t>
        </is>
      </c>
      <c r="E59" s="13" t="inlineStr">
        <is>
          <t>Six Ways Lucky</t>
        </is>
      </c>
      <c r="F59" s="13" t="inlineStr">
        <is>
          <t>1-800-Lucky</t>
        </is>
      </c>
      <c r="G59" s="13" t="inlineStr">
        <is>
          <t>1-800-Lucky</t>
        </is>
      </c>
      <c r="H59" s="13" t="inlineStr">
        <is>
          <t>food</t>
        </is>
      </c>
      <c r="I59" s="13" t="inlineStr">
        <is>
          <t>medium</t>
        </is>
      </c>
      <c r="J59" s="16" t="n">
        <v>150</v>
      </c>
      <c r="K59" s="16" t="n">
        <v>75</v>
      </c>
      <c r="L59" s="13" t="inlineStr">
        <is>
          <t>10–15 min</t>
        </is>
      </c>
      <c r="M59" s="17" t="inlineStr">
        <is>
          <t>Walk the full hall and find all six food concepts. Photograph the counter or dish you'd try first.</t>
        </is>
      </c>
      <c r="N59" s="17" t="inlineStr">
        <is>
          <t>Spin once on your heel and let fate point you to a counter.</t>
        </is>
      </c>
      <c r="O59" s="17" t="inlineStr">
        <is>
          <t>Miami's first Asian food hall: 10,000 square feet in Wynwood holding six kitchens under one roof. One address, six chances your night improves.</t>
        </is>
      </c>
      <c r="P59" s="7" t="inlineStr">
        <is>
          <t>active</t>
        </is>
      </c>
      <c r="Q59" s="15" t="inlineStr">
        <is>
          <t>Website</t>
        </is>
      </c>
      <c r="R59" s="15" t="inlineStr">
        <is>
          <t>Google Reviews</t>
        </is>
      </c>
      <c r="S59" s="13" t="inlineStr">
        <is>
          <t>google</t>
        </is>
      </c>
      <c r="T59" s="15" t="inlineStr">
        <is>
          <t>Instagram</t>
        </is>
      </c>
      <c r="U59" s="13" t="inlineStr">
        <is>
          <t>other</t>
        </is>
      </c>
      <c r="V59" s="13" t="inlineStr">
        <is>
          <t>1800-LUCKY-WYNWOOD</t>
        </is>
      </c>
      <c r="W59" s="13" t="inlineStr">
        <is>
          <t>/q/7c60b065-a84e-58da-8f06-a3f4587a8cfa</t>
        </is>
      </c>
      <c r="X59" s="12" t="inlineStr">
        <is>
          <t>Needs Sourcing</t>
        </is>
      </c>
      <c r="Y59" s="12" t="inlineStr">
        <is>
          <t>Needs Sourcing</t>
        </is>
      </c>
    </row>
    <row r="60" ht="34" customHeight="1">
      <c r="A60" s="6" t="inlineStr">
        <is>
          <t>c7725659-24d7-51eb-ba92-468c2622bbce</t>
        </is>
      </c>
      <c r="B60" s="6" t="inlineStr">
        <is>
          <t>0ec8d3e2-bb74-5eef-94f4-e6c6f6c6f9ea</t>
        </is>
      </c>
      <c r="C60" s="6" t="inlineStr">
        <is>
          <t>7fe7ecdd-5738-50cf-b188-9dd31c746ba4</t>
        </is>
      </c>
      <c r="D60" s="6" t="inlineStr">
        <is>
          <t>dantes-hifi-wynwood</t>
        </is>
      </c>
      <c r="E60" s="6" t="inlineStr">
        <is>
          <t>Drop the Needle</t>
        </is>
      </c>
      <c r="F60" s="6" t="inlineStr">
        <is>
          <t>Dante's HiFi</t>
        </is>
      </c>
      <c r="G60" s="6" t="inlineStr">
        <is>
          <t>Dante's HiFi</t>
        </is>
      </c>
      <c r="H60" s="6" t="inlineStr">
        <is>
          <t>nightlife</t>
        </is>
      </c>
      <c r="I60" s="6" t="inlineStr">
        <is>
          <t>medium</t>
        </is>
      </c>
      <c r="J60" s="10" t="n">
        <v>150</v>
      </c>
      <c r="K60" s="10" t="n">
        <v>75</v>
      </c>
      <c r="L60" s="6" t="inlineStr">
        <is>
          <t>15–20 min</t>
        </is>
      </c>
      <c r="M60" s="11" t="inlineStr">
        <is>
          <t>Find Dante's HiFi and stay through at least one full song with your phone down. Then capture one discreet photo of the night.</t>
        </is>
      </c>
      <c r="N60" s="11" t="inlineStr">
        <is>
          <t>Drop the song that was playing into your Community Note — future adventurers will thank you.</t>
        </is>
      </c>
      <c r="O60" s="11" t="inlineStr">
        <is>
          <t>A vinyl listening bar in Wynwood where the records are the headliner. This is nightlife at 33⅓ RPM: sit down, tune in, and let someone else's crates change your taste.</t>
        </is>
      </c>
      <c r="P60" s="7" t="inlineStr">
        <is>
          <t>active</t>
        </is>
      </c>
      <c r="Q60" s="9" t="inlineStr">
        <is>
          <t>Website</t>
        </is>
      </c>
      <c r="R60" s="9" t="inlineStr">
        <is>
          <t>Google Reviews</t>
        </is>
      </c>
      <c r="S60" s="6" t="inlineStr">
        <is>
          <t>yelp</t>
        </is>
      </c>
      <c r="T60" s="9" t="inlineStr">
        <is>
          <t>Instagram</t>
        </is>
      </c>
      <c r="U60" s="6" t="inlineStr">
        <is>
          <t>other</t>
        </is>
      </c>
      <c r="V60" s="6" t="inlineStr">
        <is>
          <t>DANTES-HIFI-WYNWOOD</t>
        </is>
      </c>
      <c r="W60" s="6" t="inlineStr">
        <is>
          <t>/q/c7725659-24d7-51eb-ba92-468c2622bbce</t>
        </is>
      </c>
      <c r="X60" s="12" t="inlineStr">
        <is>
          <t>Needs Sourcing</t>
        </is>
      </c>
      <c r="Y60" s="12" t="inlineStr">
        <is>
          <t>Needs Sourcing</t>
        </is>
      </c>
    </row>
    <row r="61" ht="34" customHeight="1">
      <c r="A61" s="13" t="inlineStr">
        <is>
          <t>46d7501e-7aca-586d-a099-b8af0607d8e0</t>
        </is>
      </c>
      <c r="B61" s="13" t="inlineStr">
        <is>
          <t>f297d4f8-9526-5c0d-9c43-c3dba53079a4</t>
        </is>
      </c>
      <c r="C61" s="13" t="inlineStr">
        <is>
          <t>34dbd889-65bc-584c-84e8-4ccd262de7da</t>
        </is>
      </c>
      <c r="D61" s="13" t="inlineStr">
        <is>
          <t>dasher-and-crank-wynwood</t>
        </is>
      </c>
      <c r="E61" s="13" t="inlineStr">
        <is>
          <t>The Dasher &amp; Crank Riddle</t>
        </is>
      </c>
      <c r="F61" s="13" t="inlineStr">
        <is>
          <t>Dasher &amp; Crank</t>
        </is>
      </c>
      <c r="G61" s="13" t="inlineStr">
        <is>
          <t>Dasher &amp; Crank</t>
        </is>
      </c>
      <c r="H61" s="13" t="inlineStr">
        <is>
          <t>food</t>
        </is>
      </c>
      <c r="I61" s="13" t="inlineStr">
        <is>
          <t>easy</t>
        </is>
      </c>
      <c r="J61" s="16" t="n">
        <v>50</v>
      </c>
      <c r="K61" s="16" t="n">
        <v>25</v>
      </c>
      <c r="L61" s="13" t="inlineStr">
        <is>
          <t>5–10 min</t>
        </is>
      </c>
      <c r="M61" s="17" t="inlineStr">
        <is>
          <t>Find Dasher &amp; Crank on NW 2nd Ave and solve the name — the menu board is a good place to start. Photograph your evidence.</t>
        </is>
      </c>
      <c r="N61" s="17" t="inlineStr">
        <is>
          <t>Guess the answer out loud before you walk in, then grade yourself at the counter.</t>
        </is>
      </c>
      <c r="O61" s="17" t="inlineStr">
        <is>
          <t>The name is a riddle: what do a 'dasher' and a 'crank' have in common? Walk into this Wynwood shop and the answer becomes deliciously obvious.</t>
        </is>
      </c>
      <c r="P61" s="7" t="inlineStr">
        <is>
          <t>active</t>
        </is>
      </c>
      <c r="Q61" s="15" t="inlineStr">
        <is>
          <t>Website</t>
        </is>
      </c>
      <c r="R61" s="15" t="inlineStr">
        <is>
          <t>Google Reviews</t>
        </is>
      </c>
      <c r="S61" s="13" t="inlineStr">
        <is>
          <t>google</t>
        </is>
      </c>
      <c r="T61" s="15" t="inlineStr">
        <is>
          <t>Instagram</t>
        </is>
      </c>
      <c r="U61" s="13" t="inlineStr">
        <is>
          <t>other</t>
        </is>
      </c>
      <c r="V61" s="13" t="inlineStr">
        <is>
          <t>DASHER-AND-CRANK-WYNWOOD</t>
        </is>
      </c>
      <c r="W61" s="13" t="inlineStr">
        <is>
          <t>/q/46d7501e-7aca-586d-a099-b8af0607d8e0</t>
        </is>
      </c>
      <c r="X61" s="12" t="inlineStr">
        <is>
          <t>Needs Sourcing</t>
        </is>
      </c>
      <c r="Y61" s="12" t="inlineStr">
        <is>
          <t>Needs Sourcing</t>
        </is>
      </c>
    </row>
    <row r="62" ht="34" customHeight="1">
      <c r="A62" s="6" t="inlineStr">
        <is>
          <t>aecdaf4a-c974-5246-86d4-0bb90b1de150</t>
        </is>
      </c>
      <c r="B62" s="6" t="inlineStr">
        <is>
          <t>97c2c829-1eba-53c0-84e4-f02dfd40ef40</t>
        </is>
      </c>
      <c r="C62" s="6" t="inlineStr">
        <is>
          <t>a29163be-6b51-5842-9d44-b0d0deb646f6</t>
        </is>
      </c>
      <c r="D62" s="6" t="inlineStr">
        <is>
          <t>miam-cafe-wynwood</t>
        </is>
      </c>
      <c r="E62" s="6" t="inlineStr">
        <is>
          <t>Say 'Miam'</t>
        </is>
      </c>
      <c r="F62" s="6" t="inlineStr">
        <is>
          <t>Miam Café - Wynwood</t>
        </is>
      </c>
      <c r="G62" s="6" t="inlineStr">
        <is>
          <t>Miam Café</t>
        </is>
      </c>
      <c r="H62" s="6" t="inlineStr">
        <is>
          <t>food</t>
        </is>
      </c>
      <c r="I62" s="6" t="inlineStr">
        <is>
          <t>easy</t>
        </is>
      </c>
      <c r="J62" s="10" t="n">
        <v>50</v>
      </c>
      <c r="K62" s="10" t="n">
        <v>25</v>
      </c>
      <c r="L62" s="6" t="inlineStr">
        <is>
          <t>5–10 min</t>
        </is>
      </c>
      <c r="M62" s="11" t="inlineStr">
        <is>
          <t>Find Miam Café and photograph the thing on the menu that makes you go 'miam.'</t>
        </is>
      </c>
      <c r="N62" s="11" t="inlineStr">
        <is>
          <t>Actually say 'miam' out loud when you spot it. It's the law of the quest.</t>
        </is>
      </c>
      <c r="O62" s="11" t="inlineStr">
        <is>
          <t>'Miam' is French for 'yum' — the entire mission statement in four letters. Find the Wynwood café that named itself after the sound you make when the plate arrives.</t>
        </is>
      </c>
      <c r="P62" s="7" t="inlineStr">
        <is>
          <t>active</t>
        </is>
      </c>
      <c r="Q62" s="9" t="inlineStr">
        <is>
          <t>Website</t>
        </is>
      </c>
      <c r="R62" s="9" t="inlineStr">
        <is>
          <t>Google Reviews</t>
        </is>
      </c>
      <c r="S62" s="6" t="inlineStr">
        <is>
          <t>google</t>
        </is>
      </c>
      <c r="T62" s="9" t="inlineStr">
        <is>
          <t>Instagram</t>
        </is>
      </c>
      <c r="U62" s="6" t="inlineStr">
        <is>
          <t>other</t>
        </is>
      </c>
      <c r="V62" s="6" t="inlineStr">
        <is>
          <t>MIAM-CAFE-WYNWOOD</t>
        </is>
      </c>
      <c r="W62" s="6" t="inlineStr">
        <is>
          <t>/q/aecdaf4a-c974-5246-86d4-0bb90b1de150</t>
        </is>
      </c>
      <c r="X62" s="12" t="inlineStr">
        <is>
          <t>Needs Sourcing</t>
        </is>
      </c>
      <c r="Y62" s="12" t="inlineStr">
        <is>
          <t>Needs Sourcing</t>
        </is>
      </c>
    </row>
    <row r="63" ht="34" customHeight="1">
      <c r="A63" s="13" t="inlineStr">
        <is>
          <t>1194aef9-bc2f-5cc8-bbd9-e0c7a9e3e067</t>
        </is>
      </c>
      <c r="B63" s="13" t="inlineStr">
        <is>
          <t>062ce6b7-f9df-5c53-b7b0-de16fcc22eb8</t>
        </is>
      </c>
      <c r="C63" s="13" t="inlineStr">
        <is>
          <t>b7a5c65e-0674-54c8-9e2f-c17fe6402861</t>
        </is>
      </c>
      <c r="D63" s="13" t="inlineStr">
        <is>
          <t>panther-coffee-wynwood</t>
        </is>
      </c>
      <c r="E63" s="13" t="inlineStr">
        <is>
          <t>The Wynwood Original</t>
        </is>
      </c>
      <c r="F63" s="13" t="inlineStr">
        <is>
          <t>Panther Coffee - Wynwood</t>
        </is>
      </c>
      <c r="G63" s="13" t="inlineStr">
        <is>
          <t>Panther Coffee</t>
        </is>
      </c>
      <c r="H63" s="13" t="inlineStr">
        <is>
          <t>food</t>
        </is>
      </c>
      <c r="I63" s="13" t="inlineStr">
        <is>
          <t>easy</t>
        </is>
      </c>
      <c r="J63" s="16" t="n">
        <v>50</v>
      </c>
      <c r="K63" s="16" t="n">
        <v>25</v>
      </c>
      <c r="L63" s="13" t="inlineStr">
        <is>
          <t>5–10 min</t>
        </is>
      </c>
      <c r="M63" s="17" t="inlineStr">
        <is>
          <t>Step inside Panther's Wynwood flagship, find the panther wherever it appears, and snap a photo with it.</t>
        </is>
      </c>
      <c r="N63" s="17" t="inlineStr">
        <is>
          <t>Give your best (quiet) panther growl before your first sip or your final photo.</t>
        </is>
      </c>
      <c r="O63" s="17" t="inlineStr">
        <is>
          <t>Joel and Leticia Pollock opened this flagship in 2010, long before the murals made Wynwood world-famous. Miami's local coffee scene grew up right here — come see where it started.</t>
        </is>
      </c>
      <c r="P63" s="7" t="inlineStr">
        <is>
          <t>active</t>
        </is>
      </c>
      <c r="Q63" s="15" t="inlineStr">
        <is>
          <t>Website</t>
        </is>
      </c>
      <c r="R63" s="15" t="inlineStr">
        <is>
          <t>Google Reviews</t>
        </is>
      </c>
      <c r="S63" s="13" t="inlineStr">
        <is>
          <t>google</t>
        </is>
      </c>
      <c r="T63" s="15" t="inlineStr">
        <is>
          <t>Instagram</t>
        </is>
      </c>
      <c r="U63" s="13" t="inlineStr">
        <is>
          <t>other</t>
        </is>
      </c>
      <c r="V63" s="13" t="inlineStr">
        <is>
          <t>PANTHER-COFFEE-WYNWOOD</t>
        </is>
      </c>
      <c r="W63" s="13" t="inlineStr">
        <is>
          <t>/q/1194aef9-bc2f-5cc8-bbd9-e0c7a9e3e067</t>
        </is>
      </c>
      <c r="X63" s="12" t="inlineStr">
        <is>
          <t>Needs Sourcing</t>
        </is>
      </c>
      <c r="Y63" s="12" t="inlineStr">
        <is>
          <t>Needs Sourcing</t>
        </is>
      </c>
    </row>
    <row r="64" ht="34" customHeight="1">
      <c r="A64" s="6" t="inlineStr">
        <is>
          <t>21902b20-b34e-5308-9fdb-7868829a3497</t>
        </is>
      </c>
      <c r="B64" s="6" t="inlineStr">
        <is>
          <t>1540d4fd-088d-5194-9463-47458122fca4</t>
        </is>
      </c>
      <c r="C64" s="6" t="inlineStr">
        <is>
          <t>ec81a30a-4798-5e3f-ab15-130b8a9504d3</t>
        </is>
      </c>
      <c r="D64" s="6" t="inlineStr">
        <is>
          <t>salty-donut-wynwood</t>
        </is>
      </c>
      <c r="E64" s="6" t="inlineStr">
        <is>
          <t>Donuts, Coffee, Vibes</t>
        </is>
      </c>
      <c r="F64" s="6" t="inlineStr">
        <is>
          <t>The Salty Donut - Wynwood</t>
        </is>
      </c>
      <c r="G64" s="6" t="inlineStr">
        <is>
          <t>The Salty Donut</t>
        </is>
      </c>
      <c r="H64" s="6" t="inlineStr">
        <is>
          <t>food</t>
        </is>
      </c>
      <c r="I64" s="6" t="inlineStr">
        <is>
          <t>easy</t>
        </is>
      </c>
      <c r="J64" s="10" t="n">
        <v>50</v>
      </c>
      <c r="K64" s="10" t="n">
        <v>25</v>
      </c>
      <c r="L64" s="6" t="inlineStr">
        <is>
          <t>5–10 min</t>
        </is>
      </c>
      <c r="M64" s="11" t="inlineStr">
        <is>
          <t>Find today's donut lineup and photograph the flavor you'd cross town for.</t>
        </is>
      </c>
      <c r="N64" s="11" t="inlineStr">
        <is>
          <t>Rank your top three flavors out loud with whoever is next to you.</t>
        </is>
      </c>
      <c r="O64" s="11" t="inlineStr">
        <is>
          <t>The brand's own motto is 'donuts, coffee, vibes' — and the Wynwood shop is where Miami checks all three boxes. The lineup changes, which is exactly the fun of it.</t>
        </is>
      </c>
      <c r="P64" s="7" t="inlineStr">
        <is>
          <t>active</t>
        </is>
      </c>
      <c r="Q64" s="9" t="inlineStr">
        <is>
          <t>Website</t>
        </is>
      </c>
      <c r="R64" s="9" t="inlineStr">
        <is>
          <t>Google Reviews</t>
        </is>
      </c>
      <c r="S64" s="6" t="inlineStr">
        <is>
          <t>google</t>
        </is>
      </c>
      <c r="T64" s="9" t="inlineStr">
        <is>
          <t>Instagram</t>
        </is>
      </c>
      <c r="U64" s="6" t="inlineStr">
        <is>
          <t>other</t>
        </is>
      </c>
      <c r="V64" s="6" t="inlineStr">
        <is>
          <t>SALTY-DONUT-WYNWOOD</t>
        </is>
      </c>
      <c r="W64" s="6" t="inlineStr">
        <is>
          <t>/q/21902b20-b34e-5308-9fdb-7868829a3497</t>
        </is>
      </c>
      <c r="X64" s="12" t="inlineStr">
        <is>
          <t>Needs Sourcing</t>
        </is>
      </c>
      <c r="Y64" s="12" t="inlineStr">
        <is>
          <t>Needs Sourcing</t>
        </is>
      </c>
    </row>
    <row r="65" ht="34" customHeight="1">
      <c r="A65" s="13" t="inlineStr">
        <is>
          <t>2ef644f5-f352-5856-a454-47070ed877f8</t>
        </is>
      </c>
      <c r="B65" s="13" t="inlineStr">
        <is>
          <t>fbca77fb-abae-5c1a-9a15-2ccaa331a278</t>
        </is>
      </c>
      <c r="C65" s="13" t="inlineStr">
        <is>
          <t>94351bfa-6108-526e-afc3-cdf02a54a8a2</t>
        </is>
      </c>
      <c r="D65" s="13" t="inlineStr">
        <is>
          <t>wynwood-walls</t>
        </is>
      </c>
      <c r="E65" s="13" t="inlineStr">
        <is>
          <t>Walls That Talk</t>
        </is>
      </c>
      <c r="F65" s="13" t="inlineStr">
        <is>
          <t>Wynwood Walls</t>
        </is>
      </c>
      <c r="G65" s="13" t="inlineStr">
        <is>
          <t>Wynwood Walls</t>
        </is>
      </c>
      <c r="H65" s="13" t="inlineStr">
        <is>
          <t>art</t>
        </is>
      </c>
      <c r="I65" s="13" t="inlineStr">
        <is>
          <t>medium</t>
        </is>
      </c>
      <c r="J65" s="16" t="n">
        <v>150</v>
      </c>
      <c r="K65" s="16" t="n">
        <v>75</v>
      </c>
      <c r="L65" s="13" t="inlineStr">
        <is>
          <t>15–20 min</t>
        </is>
      </c>
      <c r="M65" s="17" t="inlineStr">
        <is>
          <t>Wander the outdoor galleries and find the mural that stops you mid-step. Photograph it, and hunt down the artist's name.</t>
        </is>
      </c>
      <c r="N65" s="17" t="inlineStr">
        <is>
          <t>Match your pose to the mural. Yes, exactly like that.</t>
        </is>
      </c>
      <c r="O65" s="17" t="inlineStr">
        <is>
          <t>An open-air museum where the galleries have no ceilings and the canvases are entire buildings. Timed entry tickets get you in the gates — curiosity does the rest.</t>
        </is>
      </c>
      <c r="P65" s="7" t="inlineStr">
        <is>
          <t>active</t>
        </is>
      </c>
      <c r="Q65" s="15" t="inlineStr">
        <is>
          <t>Website</t>
        </is>
      </c>
      <c r="R65" s="15" t="inlineStr">
        <is>
          <t>Google Reviews</t>
        </is>
      </c>
      <c r="S65" s="13" t="inlineStr">
        <is>
          <t>yelp</t>
        </is>
      </c>
      <c r="T65" s="15" t="inlineStr">
        <is>
          <t>Instagram</t>
        </is>
      </c>
      <c r="U65" s="13" t="inlineStr">
        <is>
          <t>other</t>
        </is>
      </c>
      <c r="V65" s="13" t="inlineStr">
        <is>
          <t>WYNWOOD-WALLS</t>
        </is>
      </c>
      <c r="W65" s="13" t="inlineStr">
        <is>
          <t>/q/2ef644f5-f352-5856-a454-47070ed877f8</t>
        </is>
      </c>
      <c r="X65" s="12" t="inlineStr">
        <is>
          <t>Needs Sourcing</t>
        </is>
      </c>
      <c r="Y65" s="12" t="inlineStr">
        <is>
          <t>Needs Sourcing</t>
        </is>
      </c>
    </row>
  </sheetData>
  <autoFilter ref="A3:Y65"/>
  <hyperlinks>
    <hyperlink xmlns:r="http://schemas.openxmlformats.org/officeDocument/2006/relationships" ref="Q4" r:id="rId1"/>
    <hyperlink xmlns:r="http://schemas.openxmlformats.org/officeDocument/2006/relationships" ref="R4" r:id="rId2"/>
    <hyperlink xmlns:r="http://schemas.openxmlformats.org/officeDocument/2006/relationships" ref="T4" r:id="rId3"/>
    <hyperlink xmlns:r="http://schemas.openxmlformats.org/officeDocument/2006/relationships" ref="Q5" r:id="rId4"/>
    <hyperlink xmlns:r="http://schemas.openxmlformats.org/officeDocument/2006/relationships" ref="R5" r:id="rId5"/>
    <hyperlink xmlns:r="http://schemas.openxmlformats.org/officeDocument/2006/relationships" ref="T5" r:id="rId6"/>
    <hyperlink xmlns:r="http://schemas.openxmlformats.org/officeDocument/2006/relationships" ref="Q6" r:id="rId7"/>
    <hyperlink xmlns:r="http://schemas.openxmlformats.org/officeDocument/2006/relationships" ref="R6" r:id="rId8"/>
    <hyperlink xmlns:r="http://schemas.openxmlformats.org/officeDocument/2006/relationships" ref="T6" r:id="rId9"/>
    <hyperlink xmlns:r="http://schemas.openxmlformats.org/officeDocument/2006/relationships" ref="Q7" r:id="rId10"/>
    <hyperlink xmlns:r="http://schemas.openxmlformats.org/officeDocument/2006/relationships" ref="R7" r:id="rId11"/>
    <hyperlink xmlns:r="http://schemas.openxmlformats.org/officeDocument/2006/relationships" ref="T7" r:id="rId12"/>
    <hyperlink xmlns:r="http://schemas.openxmlformats.org/officeDocument/2006/relationships" ref="Q8" r:id="rId13"/>
    <hyperlink xmlns:r="http://schemas.openxmlformats.org/officeDocument/2006/relationships" ref="R8" r:id="rId14"/>
    <hyperlink xmlns:r="http://schemas.openxmlformats.org/officeDocument/2006/relationships" ref="T8" r:id="rId15"/>
    <hyperlink xmlns:r="http://schemas.openxmlformats.org/officeDocument/2006/relationships" ref="Q9" r:id="rId16"/>
    <hyperlink xmlns:r="http://schemas.openxmlformats.org/officeDocument/2006/relationships" ref="R9" r:id="rId17"/>
    <hyperlink xmlns:r="http://schemas.openxmlformats.org/officeDocument/2006/relationships" ref="Q10" r:id="rId18"/>
    <hyperlink xmlns:r="http://schemas.openxmlformats.org/officeDocument/2006/relationships" ref="R10" r:id="rId19"/>
    <hyperlink xmlns:r="http://schemas.openxmlformats.org/officeDocument/2006/relationships" ref="T10" r:id="rId20"/>
    <hyperlink xmlns:r="http://schemas.openxmlformats.org/officeDocument/2006/relationships" ref="Q11" r:id="rId21"/>
    <hyperlink xmlns:r="http://schemas.openxmlformats.org/officeDocument/2006/relationships" ref="R11" r:id="rId22"/>
    <hyperlink xmlns:r="http://schemas.openxmlformats.org/officeDocument/2006/relationships" ref="T11" r:id="rId23"/>
    <hyperlink xmlns:r="http://schemas.openxmlformats.org/officeDocument/2006/relationships" ref="Q12" r:id="rId24"/>
    <hyperlink xmlns:r="http://schemas.openxmlformats.org/officeDocument/2006/relationships" ref="R12" r:id="rId25"/>
    <hyperlink xmlns:r="http://schemas.openxmlformats.org/officeDocument/2006/relationships" ref="T12" r:id="rId26"/>
    <hyperlink xmlns:r="http://schemas.openxmlformats.org/officeDocument/2006/relationships" ref="Q13" r:id="rId27"/>
    <hyperlink xmlns:r="http://schemas.openxmlformats.org/officeDocument/2006/relationships" ref="R13" r:id="rId28"/>
    <hyperlink xmlns:r="http://schemas.openxmlformats.org/officeDocument/2006/relationships" ref="T13" r:id="rId29"/>
    <hyperlink xmlns:r="http://schemas.openxmlformats.org/officeDocument/2006/relationships" ref="Q14" r:id="rId30"/>
    <hyperlink xmlns:r="http://schemas.openxmlformats.org/officeDocument/2006/relationships" ref="R14" r:id="rId31"/>
    <hyperlink xmlns:r="http://schemas.openxmlformats.org/officeDocument/2006/relationships" ref="T14" r:id="rId32"/>
    <hyperlink xmlns:r="http://schemas.openxmlformats.org/officeDocument/2006/relationships" ref="Q15" r:id="rId33"/>
    <hyperlink xmlns:r="http://schemas.openxmlformats.org/officeDocument/2006/relationships" ref="R15" r:id="rId34"/>
    <hyperlink xmlns:r="http://schemas.openxmlformats.org/officeDocument/2006/relationships" ref="T15" r:id="rId35"/>
    <hyperlink xmlns:r="http://schemas.openxmlformats.org/officeDocument/2006/relationships" ref="Q16" r:id="rId36"/>
    <hyperlink xmlns:r="http://schemas.openxmlformats.org/officeDocument/2006/relationships" ref="R16" r:id="rId37"/>
    <hyperlink xmlns:r="http://schemas.openxmlformats.org/officeDocument/2006/relationships" ref="T16" r:id="rId38"/>
    <hyperlink xmlns:r="http://schemas.openxmlformats.org/officeDocument/2006/relationships" ref="Q17" r:id="rId39"/>
    <hyperlink xmlns:r="http://schemas.openxmlformats.org/officeDocument/2006/relationships" ref="R17" r:id="rId40"/>
    <hyperlink xmlns:r="http://schemas.openxmlformats.org/officeDocument/2006/relationships" ref="T17" r:id="rId41"/>
    <hyperlink xmlns:r="http://schemas.openxmlformats.org/officeDocument/2006/relationships" ref="Q18" r:id="rId42"/>
    <hyperlink xmlns:r="http://schemas.openxmlformats.org/officeDocument/2006/relationships" ref="R18" r:id="rId43"/>
    <hyperlink xmlns:r="http://schemas.openxmlformats.org/officeDocument/2006/relationships" ref="T18" r:id="rId44"/>
    <hyperlink xmlns:r="http://schemas.openxmlformats.org/officeDocument/2006/relationships" ref="Q19" r:id="rId45"/>
    <hyperlink xmlns:r="http://schemas.openxmlformats.org/officeDocument/2006/relationships" ref="R19" r:id="rId46"/>
    <hyperlink xmlns:r="http://schemas.openxmlformats.org/officeDocument/2006/relationships" ref="T19" r:id="rId47"/>
    <hyperlink xmlns:r="http://schemas.openxmlformats.org/officeDocument/2006/relationships" ref="Q20" r:id="rId48"/>
    <hyperlink xmlns:r="http://schemas.openxmlformats.org/officeDocument/2006/relationships" ref="R20" r:id="rId49"/>
    <hyperlink xmlns:r="http://schemas.openxmlformats.org/officeDocument/2006/relationships" ref="T20" r:id="rId50"/>
    <hyperlink xmlns:r="http://schemas.openxmlformats.org/officeDocument/2006/relationships" ref="Q21" r:id="rId51"/>
    <hyperlink xmlns:r="http://schemas.openxmlformats.org/officeDocument/2006/relationships" ref="R21" r:id="rId52"/>
    <hyperlink xmlns:r="http://schemas.openxmlformats.org/officeDocument/2006/relationships" ref="T21" r:id="rId53"/>
    <hyperlink xmlns:r="http://schemas.openxmlformats.org/officeDocument/2006/relationships" ref="Q22" r:id="rId54"/>
    <hyperlink xmlns:r="http://schemas.openxmlformats.org/officeDocument/2006/relationships" ref="R22" r:id="rId55"/>
    <hyperlink xmlns:r="http://schemas.openxmlformats.org/officeDocument/2006/relationships" ref="T22" r:id="rId56"/>
    <hyperlink xmlns:r="http://schemas.openxmlformats.org/officeDocument/2006/relationships" ref="Q23" r:id="rId57"/>
    <hyperlink xmlns:r="http://schemas.openxmlformats.org/officeDocument/2006/relationships" ref="R23" r:id="rId58"/>
    <hyperlink xmlns:r="http://schemas.openxmlformats.org/officeDocument/2006/relationships" ref="T23" r:id="rId59"/>
    <hyperlink xmlns:r="http://schemas.openxmlformats.org/officeDocument/2006/relationships" ref="Q24" r:id="rId60"/>
    <hyperlink xmlns:r="http://schemas.openxmlformats.org/officeDocument/2006/relationships" ref="R24" r:id="rId61"/>
    <hyperlink xmlns:r="http://schemas.openxmlformats.org/officeDocument/2006/relationships" ref="T24" r:id="rId62"/>
    <hyperlink xmlns:r="http://schemas.openxmlformats.org/officeDocument/2006/relationships" ref="Q25" r:id="rId63"/>
    <hyperlink xmlns:r="http://schemas.openxmlformats.org/officeDocument/2006/relationships" ref="R25" r:id="rId64"/>
    <hyperlink xmlns:r="http://schemas.openxmlformats.org/officeDocument/2006/relationships" ref="T25" r:id="rId65"/>
    <hyperlink xmlns:r="http://schemas.openxmlformats.org/officeDocument/2006/relationships" ref="Q26" r:id="rId66"/>
    <hyperlink xmlns:r="http://schemas.openxmlformats.org/officeDocument/2006/relationships" ref="R26" r:id="rId67"/>
    <hyperlink xmlns:r="http://schemas.openxmlformats.org/officeDocument/2006/relationships" ref="T26" r:id="rId68"/>
    <hyperlink xmlns:r="http://schemas.openxmlformats.org/officeDocument/2006/relationships" ref="Q27" r:id="rId69"/>
    <hyperlink xmlns:r="http://schemas.openxmlformats.org/officeDocument/2006/relationships" ref="R27" r:id="rId70"/>
    <hyperlink xmlns:r="http://schemas.openxmlformats.org/officeDocument/2006/relationships" ref="T27" r:id="rId71"/>
    <hyperlink xmlns:r="http://schemas.openxmlformats.org/officeDocument/2006/relationships" ref="Q28" r:id="rId72"/>
    <hyperlink xmlns:r="http://schemas.openxmlformats.org/officeDocument/2006/relationships" ref="R28" r:id="rId73"/>
    <hyperlink xmlns:r="http://schemas.openxmlformats.org/officeDocument/2006/relationships" ref="T28" r:id="rId74"/>
    <hyperlink xmlns:r="http://schemas.openxmlformats.org/officeDocument/2006/relationships" ref="Q29" r:id="rId75"/>
    <hyperlink xmlns:r="http://schemas.openxmlformats.org/officeDocument/2006/relationships" ref="R29" r:id="rId76"/>
    <hyperlink xmlns:r="http://schemas.openxmlformats.org/officeDocument/2006/relationships" ref="T29" r:id="rId77"/>
    <hyperlink xmlns:r="http://schemas.openxmlformats.org/officeDocument/2006/relationships" ref="Q30" r:id="rId78"/>
    <hyperlink xmlns:r="http://schemas.openxmlformats.org/officeDocument/2006/relationships" ref="R30" r:id="rId79"/>
    <hyperlink xmlns:r="http://schemas.openxmlformats.org/officeDocument/2006/relationships" ref="T30" r:id="rId80"/>
    <hyperlink xmlns:r="http://schemas.openxmlformats.org/officeDocument/2006/relationships" ref="Q31" r:id="rId81"/>
    <hyperlink xmlns:r="http://schemas.openxmlformats.org/officeDocument/2006/relationships" ref="R31" r:id="rId82"/>
    <hyperlink xmlns:r="http://schemas.openxmlformats.org/officeDocument/2006/relationships" ref="T31" r:id="rId83"/>
    <hyperlink xmlns:r="http://schemas.openxmlformats.org/officeDocument/2006/relationships" ref="Q32" r:id="rId84"/>
    <hyperlink xmlns:r="http://schemas.openxmlformats.org/officeDocument/2006/relationships" ref="R32" r:id="rId85"/>
    <hyperlink xmlns:r="http://schemas.openxmlformats.org/officeDocument/2006/relationships" ref="T32" r:id="rId86"/>
    <hyperlink xmlns:r="http://schemas.openxmlformats.org/officeDocument/2006/relationships" ref="Q33" r:id="rId87"/>
    <hyperlink xmlns:r="http://schemas.openxmlformats.org/officeDocument/2006/relationships" ref="R33" r:id="rId88"/>
    <hyperlink xmlns:r="http://schemas.openxmlformats.org/officeDocument/2006/relationships" ref="T33" r:id="rId89"/>
    <hyperlink xmlns:r="http://schemas.openxmlformats.org/officeDocument/2006/relationships" ref="Q34" r:id="rId90"/>
    <hyperlink xmlns:r="http://schemas.openxmlformats.org/officeDocument/2006/relationships" ref="R34" r:id="rId91"/>
    <hyperlink xmlns:r="http://schemas.openxmlformats.org/officeDocument/2006/relationships" ref="T34" r:id="rId92"/>
    <hyperlink xmlns:r="http://schemas.openxmlformats.org/officeDocument/2006/relationships" ref="Q35" r:id="rId93"/>
    <hyperlink xmlns:r="http://schemas.openxmlformats.org/officeDocument/2006/relationships" ref="R35" r:id="rId94"/>
    <hyperlink xmlns:r="http://schemas.openxmlformats.org/officeDocument/2006/relationships" ref="T35" r:id="rId95"/>
    <hyperlink xmlns:r="http://schemas.openxmlformats.org/officeDocument/2006/relationships" ref="Q36" r:id="rId96"/>
    <hyperlink xmlns:r="http://schemas.openxmlformats.org/officeDocument/2006/relationships" ref="R36" r:id="rId97"/>
    <hyperlink xmlns:r="http://schemas.openxmlformats.org/officeDocument/2006/relationships" ref="T36" r:id="rId98"/>
    <hyperlink xmlns:r="http://schemas.openxmlformats.org/officeDocument/2006/relationships" ref="Q37" r:id="rId99"/>
    <hyperlink xmlns:r="http://schemas.openxmlformats.org/officeDocument/2006/relationships" ref="R37" r:id="rId100"/>
    <hyperlink xmlns:r="http://schemas.openxmlformats.org/officeDocument/2006/relationships" ref="T37" r:id="rId101"/>
    <hyperlink xmlns:r="http://schemas.openxmlformats.org/officeDocument/2006/relationships" ref="Q38" r:id="rId102"/>
    <hyperlink xmlns:r="http://schemas.openxmlformats.org/officeDocument/2006/relationships" ref="R38" r:id="rId103"/>
    <hyperlink xmlns:r="http://schemas.openxmlformats.org/officeDocument/2006/relationships" ref="T38" r:id="rId104"/>
    <hyperlink xmlns:r="http://schemas.openxmlformats.org/officeDocument/2006/relationships" ref="Q39" r:id="rId105"/>
    <hyperlink xmlns:r="http://schemas.openxmlformats.org/officeDocument/2006/relationships" ref="R39" r:id="rId106"/>
    <hyperlink xmlns:r="http://schemas.openxmlformats.org/officeDocument/2006/relationships" ref="T39" r:id="rId107"/>
    <hyperlink xmlns:r="http://schemas.openxmlformats.org/officeDocument/2006/relationships" ref="Q40" r:id="rId108"/>
    <hyperlink xmlns:r="http://schemas.openxmlformats.org/officeDocument/2006/relationships" ref="R40" r:id="rId109"/>
    <hyperlink xmlns:r="http://schemas.openxmlformats.org/officeDocument/2006/relationships" ref="T40" r:id="rId110"/>
    <hyperlink xmlns:r="http://schemas.openxmlformats.org/officeDocument/2006/relationships" ref="Q41" r:id="rId111"/>
    <hyperlink xmlns:r="http://schemas.openxmlformats.org/officeDocument/2006/relationships" ref="R41" r:id="rId112"/>
    <hyperlink xmlns:r="http://schemas.openxmlformats.org/officeDocument/2006/relationships" ref="T41" r:id="rId113"/>
    <hyperlink xmlns:r="http://schemas.openxmlformats.org/officeDocument/2006/relationships" ref="Q42" r:id="rId114"/>
    <hyperlink xmlns:r="http://schemas.openxmlformats.org/officeDocument/2006/relationships" ref="R42" r:id="rId115"/>
    <hyperlink xmlns:r="http://schemas.openxmlformats.org/officeDocument/2006/relationships" ref="T42" r:id="rId116"/>
    <hyperlink xmlns:r="http://schemas.openxmlformats.org/officeDocument/2006/relationships" ref="Q43" r:id="rId117"/>
    <hyperlink xmlns:r="http://schemas.openxmlformats.org/officeDocument/2006/relationships" ref="R43" r:id="rId118"/>
    <hyperlink xmlns:r="http://schemas.openxmlformats.org/officeDocument/2006/relationships" ref="T43" r:id="rId119"/>
    <hyperlink xmlns:r="http://schemas.openxmlformats.org/officeDocument/2006/relationships" ref="Q44" r:id="rId120"/>
    <hyperlink xmlns:r="http://schemas.openxmlformats.org/officeDocument/2006/relationships" ref="R44" r:id="rId121"/>
    <hyperlink xmlns:r="http://schemas.openxmlformats.org/officeDocument/2006/relationships" ref="T44" r:id="rId122"/>
    <hyperlink xmlns:r="http://schemas.openxmlformats.org/officeDocument/2006/relationships" ref="Q45" r:id="rId123"/>
    <hyperlink xmlns:r="http://schemas.openxmlformats.org/officeDocument/2006/relationships" ref="R45" r:id="rId124"/>
    <hyperlink xmlns:r="http://schemas.openxmlformats.org/officeDocument/2006/relationships" ref="T45" r:id="rId125"/>
    <hyperlink xmlns:r="http://schemas.openxmlformats.org/officeDocument/2006/relationships" ref="Q46" r:id="rId126"/>
    <hyperlink xmlns:r="http://schemas.openxmlformats.org/officeDocument/2006/relationships" ref="R46" r:id="rId127"/>
    <hyperlink xmlns:r="http://schemas.openxmlformats.org/officeDocument/2006/relationships" ref="T46" r:id="rId128"/>
    <hyperlink xmlns:r="http://schemas.openxmlformats.org/officeDocument/2006/relationships" ref="Q47" r:id="rId129"/>
    <hyperlink xmlns:r="http://schemas.openxmlformats.org/officeDocument/2006/relationships" ref="R47" r:id="rId130"/>
    <hyperlink xmlns:r="http://schemas.openxmlformats.org/officeDocument/2006/relationships" ref="T47" r:id="rId131"/>
    <hyperlink xmlns:r="http://schemas.openxmlformats.org/officeDocument/2006/relationships" ref="Q48" r:id="rId132"/>
    <hyperlink xmlns:r="http://schemas.openxmlformats.org/officeDocument/2006/relationships" ref="R48" r:id="rId133"/>
    <hyperlink xmlns:r="http://schemas.openxmlformats.org/officeDocument/2006/relationships" ref="T48" r:id="rId134"/>
    <hyperlink xmlns:r="http://schemas.openxmlformats.org/officeDocument/2006/relationships" ref="Q49" r:id="rId135"/>
    <hyperlink xmlns:r="http://schemas.openxmlformats.org/officeDocument/2006/relationships" ref="R49" r:id="rId136"/>
    <hyperlink xmlns:r="http://schemas.openxmlformats.org/officeDocument/2006/relationships" ref="T49" r:id="rId137"/>
    <hyperlink xmlns:r="http://schemas.openxmlformats.org/officeDocument/2006/relationships" ref="Q50" r:id="rId138"/>
    <hyperlink xmlns:r="http://schemas.openxmlformats.org/officeDocument/2006/relationships" ref="R50" r:id="rId139"/>
    <hyperlink xmlns:r="http://schemas.openxmlformats.org/officeDocument/2006/relationships" ref="T50" r:id="rId140"/>
    <hyperlink xmlns:r="http://schemas.openxmlformats.org/officeDocument/2006/relationships" ref="Q51" r:id="rId141"/>
    <hyperlink xmlns:r="http://schemas.openxmlformats.org/officeDocument/2006/relationships" ref="R51" r:id="rId142"/>
    <hyperlink xmlns:r="http://schemas.openxmlformats.org/officeDocument/2006/relationships" ref="T51" r:id="rId143"/>
    <hyperlink xmlns:r="http://schemas.openxmlformats.org/officeDocument/2006/relationships" ref="Q52" r:id="rId144"/>
    <hyperlink xmlns:r="http://schemas.openxmlformats.org/officeDocument/2006/relationships" ref="R52" r:id="rId145"/>
    <hyperlink xmlns:r="http://schemas.openxmlformats.org/officeDocument/2006/relationships" ref="T52" r:id="rId146"/>
    <hyperlink xmlns:r="http://schemas.openxmlformats.org/officeDocument/2006/relationships" ref="Q53" r:id="rId147"/>
    <hyperlink xmlns:r="http://schemas.openxmlformats.org/officeDocument/2006/relationships" ref="R53" r:id="rId148"/>
    <hyperlink xmlns:r="http://schemas.openxmlformats.org/officeDocument/2006/relationships" ref="T53" r:id="rId149"/>
    <hyperlink xmlns:r="http://schemas.openxmlformats.org/officeDocument/2006/relationships" ref="Q54" r:id="rId150"/>
    <hyperlink xmlns:r="http://schemas.openxmlformats.org/officeDocument/2006/relationships" ref="R54" r:id="rId151"/>
    <hyperlink xmlns:r="http://schemas.openxmlformats.org/officeDocument/2006/relationships" ref="T54" r:id="rId152"/>
    <hyperlink xmlns:r="http://schemas.openxmlformats.org/officeDocument/2006/relationships" ref="Q55" r:id="rId153"/>
    <hyperlink xmlns:r="http://schemas.openxmlformats.org/officeDocument/2006/relationships" ref="R55" r:id="rId154"/>
    <hyperlink xmlns:r="http://schemas.openxmlformats.org/officeDocument/2006/relationships" ref="T55" r:id="rId155"/>
    <hyperlink xmlns:r="http://schemas.openxmlformats.org/officeDocument/2006/relationships" ref="Q56" r:id="rId156"/>
    <hyperlink xmlns:r="http://schemas.openxmlformats.org/officeDocument/2006/relationships" ref="R56" r:id="rId157"/>
    <hyperlink xmlns:r="http://schemas.openxmlformats.org/officeDocument/2006/relationships" ref="T56" r:id="rId158"/>
    <hyperlink xmlns:r="http://schemas.openxmlformats.org/officeDocument/2006/relationships" ref="Q57" r:id="rId159"/>
    <hyperlink xmlns:r="http://schemas.openxmlformats.org/officeDocument/2006/relationships" ref="R57" r:id="rId160"/>
    <hyperlink xmlns:r="http://schemas.openxmlformats.org/officeDocument/2006/relationships" ref="T57" r:id="rId161"/>
    <hyperlink xmlns:r="http://schemas.openxmlformats.org/officeDocument/2006/relationships" ref="Q58" r:id="rId162"/>
    <hyperlink xmlns:r="http://schemas.openxmlformats.org/officeDocument/2006/relationships" ref="R58" r:id="rId163"/>
    <hyperlink xmlns:r="http://schemas.openxmlformats.org/officeDocument/2006/relationships" ref="T58" r:id="rId164"/>
    <hyperlink xmlns:r="http://schemas.openxmlformats.org/officeDocument/2006/relationships" ref="Q59" r:id="rId165"/>
    <hyperlink xmlns:r="http://schemas.openxmlformats.org/officeDocument/2006/relationships" ref="R59" r:id="rId166"/>
    <hyperlink xmlns:r="http://schemas.openxmlformats.org/officeDocument/2006/relationships" ref="T59" r:id="rId167"/>
    <hyperlink xmlns:r="http://schemas.openxmlformats.org/officeDocument/2006/relationships" ref="Q60" r:id="rId168"/>
    <hyperlink xmlns:r="http://schemas.openxmlformats.org/officeDocument/2006/relationships" ref="R60" r:id="rId169"/>
    <hyperlink xmlns:r="http://schemas.openxmlformats.org/officeDocument/2006/relationships" ref="T60" r:id="rId170"/>
    <hyperlink xmlns:r="http://schemas.openxmlformats.org/officeDocument/2006/relationships" ref="Q61" r:id="rId171"/>
    <hyperlink xmlns:r="http://schemas.openxmlformats.org/officeDocument/2006/relationships" ref="R61" r:id="rId172"/>
    <hyperlink xmlns:r="http://schemas.openxmlformats.org/officeDocument/2006/relationships" ref="T61" r:id="rId173"/>
    <hyperlink xmlns:r="http://schemas.openxmlformats.org/officeDocument/2006/relationships" ref="Q62" r:id="rId174"/>
    <hyperlink xmlns:r="http://schemas.openxmlformats.org/officeDocument/2006/relationships" ref="R62" r:id="rId175"/>
    <hyperlink xmlns:r="http://schemas.openxmlformats.org/officeDocument/2006/relationships" ref="T62" r:id="rId176"/>
    <hyperlink xmlns:r="http://schemas.openxmlformats.org/officeDocument/2006/relationships" ref="Q63" r:id="rId177"/>
    <hyperlink xmlns:r="http://schemas.openxmlformats.org/officeDocument/2006/relationships" ref="R63" r:id="rId178"/>
    <hyperlink xmlns:r="http://schemas.openxmlformats.org/officeDocument/2006/relationships" ref="T63" r:id="rId179"/>
    <hyperlink xmlns:r="http://schemas.openxmlformats.org/officeDocument/2006/relationships" ref="Q64" r:id="rId180"/>
    <hyperlink xmlns:r="http://schemas.openxmlformats.org/officeDocument/2006/relationships" ref="R64" r:id="rId181"/>
    <hyperlink xmlns:r="http://schemas.openxmlformats.org/officeDocument/2006/relationships" ref="T64" r:id="rId182"/>
    <hyperlink xmlns:r="http://schemas.openxmlformats.org/officeDocument/2006/relationships" ref="Q65" r:id="rId183"/>
    <hyperlink xmlns:r="http://schemas.openxmlformats.org/officeDocument/2006/relationships" ref="R65" r:id="rId184"/>
    <hyperlink xmlns:r="http://schemas.openxmlformats.org/officeDocument/2006/relationships" ref="T65" r:id="rId18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27"/>
  <sheetViews>
    <sheetView showGridLines="0" workbookViewId="0">
      <pane ySplit="3" topLeftCell="A4" activePane="bottomLeft" state="frozen"/>
      <selection pane="bottomLeft" activeCell="A1" sqref="A1"/>
    </sheetView>
  </sheetViews>
  <sheetFormatPr baseColWidth="8" defaultRowHeight="15"/>
  <cols>
    <col width="12" customWidth="1" min="1" max="1"/>
    <col width="26" customWidth="1" min="2" max="2"/>
    <col width="26" customWidth="1" min="3" max="3"/>
    <col width="26" customWidth="1" min="4" max="4"/>
    <col width="13" customWidth="1" min="5" max="5"/>
    <col width="12" customWidth="1" min="6" max="6"/>
    <col width="12" customWidth="1" min="7" max="7"/>
    <col width="24" customWidth="1" min="8" max="8"/>
    <col width="12" customWidth="1" min="9" max="9"/>
    <col width="11" customWidth="1" min="10" max="10"/>
    <col width="18" customWidth="1" min="11" max="11"/>
    <col width="14" customWidth="1" min="12" max="12"/>
    <col width="50" customWidth="1" min="13" max="13"/>
    <col width="45" customWidth="1" min="14" max="14"/>
    <col width="11" customWidth="1" min="15" max="15"/>
  </cols>
  <sheetData>
    <row r="1">
      <c r="A1" s="1" t="inlineStr">
        <is>
          <t>ASSET PIPELINE - one row per quest x asset type (hero image / logo). Sorted by priority.</t>
        </is>
      </c>
    </row>
    <row r="3">
      <c r="A3" s="2" t="inlineStr">
        <is>
          <t>Quest ID</t>
        </is>
      </c>
      <c r="B3" s="2" t="inlineStr">
        <is>
          <t>Quest Slug</t>
        </is>
      </c>
      <c r="C3" s="4" t="inlineStr">
        <is>
          <t>Quest Title</t>
        </is>
      </c>
      <c r="D3" s="4" t="inlineStr">
        <is>
          <t>Venue Name</t>
        </is>
      </c>
      <c r="E3" s="4" t="inlineStr">
        <is>
          <t>Asset Item</t>
        </is>
      </c>
      <c r="F3" s="4" t="inlineStr">
        <is>
          <t>Website</t>
        </is>
      </c>
      <c r="G3" s="4" t="inlineStr">
        <is>
          <t>Instagram</t>
        </is>
      </c>
      <c r="H3" s="5" t="inlineStr">
        <is>
          <t>Current Status</t>
        </is>
      </c>
      <c r="I3" s="5" t="inlineStr">
        <is>
          <t># Candidates</t>
        </is>
      </c>
      <c r="J3" s="5" t="inlineStr">
        <is>
          <t># Approved</t>
        </is>
      </c>
      <c r="K3" s="4" t="inlineStr">
        <is>
          <t>Suggested Source Type</t>
        </is>
      </c>
      <c r="L3" s="4" t="inlineStr">
        <is>
          <t>Suggested Source</t>
        </is>
      </c>
      <c r="M3" s="4" t="inlineStr">
        <is>
          <t>All Candidate Sources</t>
        </is>
      </c>
      <c r="N3" s="4" t="inlineStr">
        <is>
          <t>Spec</t>
        </is>
      </c>
      <c r="O3" s="5" t="inlineStr">
        <is>
          <t>Priority</t>
        </is>
      </c>
    </row>
    <row r="4" ht="34" customHeight="1">
      <c r="A4" s="6" t="inlineStr">
        <is>
          <t>7c60b065-a84e-58da-8f06-a3f4587a8cfa</t>
        </is>
      </c>
      <c r="B4" s="6" t="inlineStr">
        <is>
          <t>1800-lucky-wynwood</t>
        </is>
      </c>
      <c r="C4" s="6" t="inlineStr">
        <is>
          <t>Six Ways Lucky</t>
        </is>
      </c>
      <c r="D4" s="6" t="inlineStr">
        <is>
          <t>1-800-Lucky</t>
        </is>
      </c>
      <c r="E4" s="6" t="inlineStr">
        <is>
          <t>Hero Image</t>
        </is>
      </c>
      <c r="F4" s="9" t="inlineStr">
        <is>
          <t>Website</t>
        </is>
      </c>
      <c r="G4" s="9" t="inlineStr">
        <is>
          <t>Instagram</t>
        </is>
      </c>
      <c r="H4" s="12" t="inlineStr">
        <is>
          <t>Needs Sourcing</t>
        </is>
      </c>
      <c r="I4" s="10" t="n">
        <v>3</v>
      </c>
      <c r="J4" s="10" t="n">
        <v>0</v>
      </c>
      <c r="K4" s="6" t="inlineStr">
        <is>
          <t>Official Website</t>
        </is>
      </c>
      <c r="L4" s="9" t="inlineStr">
        <is>
          <t>Open Source</t>
        </is>
      </c>
      <c r="M4" s="11" t="inlineStr">
        <is>
          <t>https://1800lucky.com/ | https://unsplash.com/s/photos/1-800-Lucky%20miami | https://www.instagram.com/1800lucky/</t>
        </is>
      </c>
      <c r="N4" s="11" t="inlineStr">
        <is>
          <t>authentic venue/experience photo, ≥800px wide, no generic stock</t>
        </is>
      </c>
      <c r="O4" s="12" t="inlineStr">
        <is>
          <t>High</t>
        </is>
      </c>
    </row>
    <row r="5" ht="19" customHeight="1">
      <c r="A5" s="13" t="inlineStr">
        <is>
          <t>7c60b065-a84e-58da-8f06-a3f4587a8cfa</t>
        </is>
      </c>
      <c r="B5" s="13" t="inlineStr">
        <is>
          <t>1800-lucky-wynwood</t>
        </is>
      </c>
      <c r="C5" s="13" t="inlineStr">
        <is>
          <t>Six Ways Lucky</t>
        </is>
      </c>
      <c r="D5" s="13" t="inlineStr">
        <is>
          <t>1-800-Lucky</t>
        </is>
      </c>
      <c r="E5" s="13" t="inlineStr">
        <is>
          <t>Venue Logo</t>
        </is>
      </c>
      <c r="F5" s="15" t="inlineStr">
        <is>
          <t>Website</t>
        </is>
      </c>
      <c r="G5" s="15" t="inlineStr">
        <is>
          <t>Instagram</t>
        </is>
      </c>
      <c r="H5" s="12" t="inlineStr">
        <is>
          <t>Needs Sourcing</t>
        </is>
      </c>
      <c r="I5" s="16" t="n">
        <v>2</v>
      </c>
      <c r="J5" s="16" t="n">
        <v>0</v>
      </c>
      <c r="K5" s="13" t="inlineStr">
        <is>
          <t>Official Website</t>
        </is>
      </c>
      <c r="L5" s="15" t="inlineStr">
        <is>
          <t>Open Source</t>
        </is>
      </c>
      <c r="M5" s="17" t="inlineStr">
        <is>
          <t>https://1800lucky.com/ | https://www.instagram.com/1800lucky/</t>
        </is>
      </c>
      <c r="N5" s="17" t="inlineStr">
        <is>
          <t>square business logo/avatar for the circular profile image over the hero</t>
        </is>
      </c>
      <c r="O5" s="12" t="inlineStr">
        <is>
          <t>High</t>
        </is>
      </c>
    </row>
    <row r="6" ht="34" customHeight="1">
      <c r="A6" s="6" t="inlineStr">
        <is>
          <t>1289e7fc-a10a-5f27-abda-c1e52cc67b09</t>
        </is>
      </c>
      <c r="B6" s="6" t="inlineStr">
        <is>
          <t>bachour-coral-gables</t>
        </is>
      </c>
      <c r="C6" s="6" t="inlineStr">
        <is>
          <t>The Pastry Michelin Knows</t>
        </is>
      </c>
      <c r="D6" s="6" t="inlineStr">
        <is>
          <t>Bachour Coral Gables</t>
        </is>
      </c>
      <c r="E6" s="6" t="inlineStr">
        <is>
          <t>Hero Image</t>
        </is>
      </c>
      <c r="F6" s="9" t="inlineStr">
        <is>
          <t>Website</t>
        </is>
      </c>
      <c r="G6" s="9" t="inlineStr">
        <is>
          <t>Instagram</t>
        </is>
      </c>
      <c r="H6" s="12" t="inlineStr">
        <is>
          <t>Needs Sourcing</t>
        </is>
      </c>
      <c r="I6" s="10" t="n">
        <v>3</v>
      </c>
      <c r="J6" s="10" t="n">
        <v>0</v>
      </c>
      <c r="K6" s="6" t="inlineStr">
        <is>
          <t>Official Website</t>
        </is>
      </c>
      <c r="L6" s="9" t="inlineStr">
        <is>
          <t>Open Source</t>
        </is>
      </c>
      <c r="M6" s="11" t="inlineStr">
        <is>
          <t>https://antoniobachour.com/ | https://unsplash.com/s/photos/Bachour%20Coral%20Gables%20miami | https://www.instagram.com/bachourmiami/</t>
        </is>
      </c>
      <c r="N6" s="11" t="inlineStr">
        <is>
          <t>authentic venue/experience photo, ≥800px wide, no generic stock</t>
        </is>
      </c>
      <c r="O6" s="12" t="inlineStr">
        <is>
          <t>High</t>
        </is>
      </c>
    </row>
    <row r="7" ht="19" customHeight="1">
      <c r="A7" s="13" t="inlineStr">
        <is>
          <t>1289e7fc-a10a-5f27-abda-c1e52cc67b09</t>
        </is>
      </c>
      <c r="B7" s="13" t="inlineStr">
        <is>
          <t>bachour-coral-gables</t>
        </is>
      </c>
      <c r="C7" s="13" t="inlineStr">
        <is>
          <t>The Pastry Michelin Knows</t>
        </is>
      </c>
      <c r="D7" s="13" t="inlineStr">
        <is>
          <t>Bachour Coral Gables</t>
        </is>
      </c>
      <c r="E7" s="13" t="inlineStr">
        <is>
          <t>Venue Logo</t>
        </is>
      </c>
      <c r="F7" s="15" t="inlineStr">
        <is>
          <t>Website</t>
        </is>
      </c>
      <c r="G7" s="15" t="inlineStr">
        <is>
          <t>Instagram</t>
        </is>
      </c>
      <c r="H7" s="12" t="inlineStr">
        <is>
          <t>Needs Sourcing</t>
        </is>
      </c>
      <c r="I7" s="16" t="n">
        <v>2</v>
      </c>
      <c r="J7" s="16" t="n">
        <v>0</v>
      </c>
      <c r="K7" s="13" t="inlineStr">
        <is>
          <t>Official Website</t>
        </is>
      </c>
      <c r="L7" s="15" t="inlineStr">
        <is>
          <t>Open Source</t>
        </is>
      </c>
      <c r="M7" s="17" t="inlineStr">
        <is>
          <t>https://antoniobachour.com/ | https://www.instagram.com/bachourmiami/</t>
        </is>
      </c>
      <c r="N7" s="17" t="inlineStr">
        <is>
          <t>square business logo/avatar for the circular profile image over the hero</t>
        </is>
      </c>
      <c r="O7" s="12" t="inlineStr">
        <is>
          <t>High</t>
        </is>
      </c>
    </row>
    <row r="8" ht="34" customHeight="1">
      <c r="A8" s="6" t="inlineStr">
        <is>
          <t>e31072cf-e83b-5c36-8254-55a69d2bd500</t>
        </is>
      </c>
      <c r="B8" s="6" t="inlineStr">
        <is>
          <t>ball-and-chain-little-havana</t>
        </is>
      </c>
      <c r="C8" s="6" t="inlineStr">
        <is>
          <t>Calle Ocho After Dark</t>
        </is>
      </c>
      <c r="D8" s="6" t="inlineStr">
        <is>
          <t>Ball &amp; Chain</t>
        </is>
      </c>
      <c r="E8" s="6" t="inlineStr">
        <is>
          <t>Hero Image</t>
        </is>
      </c>
      <c r="F8" s="9" t="inlineStr">
        <is>
          <t>Website</t>
        </is>
      </c>
      <c r="G8" s="9" t="inlineStr">
        <is>
          <t>Instagram</t>
        </is>
      </c>
      <c r="H8" s="12" t="inlineStr">
        <is>
          <t>Needs Sourcing</t>
        </is>
      </c>
      <c r="I8" s="10" t="n">
        <v>3</v>
      </c>
      <c r="J8" s="10" t="n">
        <v>0</v>
      </c>
      <c r="K8" s="6" t="inlineStr">
        <is>
          <t>Official Website</t>
        </is>
      </c>
      <c r="L8" s="9" t="inlineStr">
        <is>
          <t>Open Source</t>
        </is>
      </c>
      <c r="M8" s="11" t="inlineStr">
        <is>
          <t>https://ballandchainmiami.com/ | https://unsplash.com/s/photos/Ball%20%26%20Chain%20miami | https://www.instagram.com/ballandchainmia/</t>
        </is>
      </c>
      <c r="N8" s="11" t="inlineStr">
        <is>
          <t>authentic venue/experience photo, ≥800px wide, no generic stock</t>
        </is>
      </c>
      <c r="O8" s="12" t="inlineStr">
        <is>
          <t>High</t>
        </is>
      </c>
    </row>
    <row r="9" ht="19" customHeight="1">
      <c r="A9" s="13" t="inlineStr">
        <is>
          <t>e31072cf-e83b-5c36-8254-55a69d2bd500</t>
        </is>
      </c>
      <c r="B9" s="13" t="inlineStr">
        <is>
          <t>ball-and-chain-little-havana</t>
        </is>
      </c>
      <c r="C9" s="13" t="inlineStr">
        <is>
          <t>Calle Ocho After Dark</t>
        </is>
      </c>
      <c r="D9" s="13" t="inlineStr">
        <is>
          <t>Ball &amp; Chain</t>
        </is>
      </c>
      <c r="E9" s="13" t="inlineStr">
        <is>
          <t>Venue Logo</t>
        </is>
      </c>
      <c r="F9" s="15" t="inlineStr">
        <is>
          <t>Website</t>
        </is>
      </c>
      <c r="G9" s="15" t="inlineStr">
        <is>
          <t>Instagram</t>
        </is>
      </c>
      <c r="H9" s="12" t="inlineStr">
        <is>
          <t>Needs Sourcing</t>
        </is>
      </c>
      <c r="I9" s="16" t="n">
        <v>2</v>
      </c>
      <c r="J9" s="16" t="n">
        <v>0</v>
      </c>
      <c r="K9" s="13" t="inlineStr">
        <is>
          <t>Official Website</t>
        </is>
      </c>
      <c r="L9" s="15" t="inlineStr">
        <is>
          <t>Open Source</t>
        </is>
      </c>
      <c r="M9" s="17" t="inlineStr">
        <is>
          <t>https://ballandchainmiami.com/ | https://www.instagram.com/ballandchainmia/</t>
        </is>
      </c>
      <c r="N9" s="17" t="inlineStr">
        <is>
          <t>square business logo/avatar for the circular profile image over the hero</t>
        </is>
      </c>
      <c r="O9" s="12" t="inlineStr">
        <is>
          <t>High</t>
        </is>
      </c>
    </row>
    <row r="10" ht="34" customHeight="1">
      <c r="A10" s="6" t="inlineStr">
        <is>
          <t>77ea42de-fedb-5fbd-a6a1-a84449b9d87c</t>
        </is>
      </c>
      <c r="B10" s="6" t="inlineStr">
        <is>
          <t>bayside-marketplace</t>
        </is>
      </c>
      <c r="C10" s="6" t="inlineStr">
        <is>
          <t>Where Downtown Meets the Bay</t>
        </is>
      </c>
      <c r="D10" s="6" t="inlineStr">
        <is>
          <t>Bayside Marketplace</t>
        </is>
      </c>
      <c r="E10" s="6" t="inlineStr">
        <is>
          <t>Hero Image</t>
        </is>
      </c>
      <c r="F10" s="9" t="inlineStr">
        <is>
          <t>Website</t>
        </is>
      </c>
      <c r="G10" s="9" t="inlineStr">
        <is>
          <t>Instagram</t>
        </is>
      </c>
      <c r="H10" s="12" t="inlineStr">
        <is>
          <t>Needs Sourcing</t>
        </is>
      </c>
      <c r="I10" s="10" t="n">
        <v>3</v>
      </c>
      <c r="J10" s="10" t="n">
        <v>0</v>
      </c>
      <c r="K10" s="6" t="inlineStr">
        <is>
          <t>Official Website</t>
        </is>
      </c>
      <c r="L10" s="9" t="inlineStr">
        <is>
          <t>Open Source</t>
        </is>
      </c>
      <c r="M10" s="11" t="inlineStr">
        <is>
          <t>https://baysidemarketplace.com/ | https://unsplash.com/s/photos/Bayside%20Marketplace%20miami | https://www.instagram.com/baysidemarketplace/</t>
        </is>
      </c>
      <c r="N10" s="11" t="inlineStr">
        <is>
          <t>authentic venue/experience photo, ≥800px wide, no generic stock</t>
        </is>
      </c>
      <c r="O10" s="12" t="inlineStr">
        <is>
          <t>High</t>
        </is>
      </c>
    </row>
    <row r="11" ht="19" customHeight="1">
      <c r="A11" s="13" t="inlineStr">
        <is>
          <t>77ea42de-fedb-5fbd-a6a1-a84449b9d87c</t>
        </is>
      </c>
      <c r="B11" s="13" t="inlineStr">
        <is>
          <t>bayside-marketplace</t>
        </is>
      </c>
      <c r="C11" s="13" t="inlineStr">
        <is>
          <t>Where Downtown Meets the Bay</t>
        </is>
      </c>
      <c r="D11" s="13" t="inlineStr">
        <is>
          <t>Bayside Marketplace</t>
        </is>
      </c>
      <c r="E11" s="13" t="inlineStr">
        <is>
          <t>Venue Logo</t>
        </is>
      </c>
      <c r="F11" s="15" t="inlineStr">
        <is>
          <t>Website</t>
        </is>
      </c>
      <c r="G11" s="15" t="inlineStr">
        <is>
          <t>Instagram</t>
        </is>
      </c>
      <c r="H11" s="12" t="inlineStr">
        <is>
          <t>Needs Sourcing</t>
        </is>
      </c>
      <c r="I11" s="16" t="n">
        <v>2</v>
      </c>
      <c r="J11" s="16" t="n">
        <v>0</v>
      </c>
      <c r="K11" s="13" t="inlineStr">
        <is>
          <t>Official Website</t>
        </is>
      </c>
      <c r="L11" s="15" t="inlineStr">
        <is>
          <t>Open Source</t>
        </is>
      </c>
      <c r="M11" s="17" t="inlineStr">
        <is>
          <t>https://baysidemarketplace.com/ | https://www.instagram.com/baysidemarketplace/</t>
        </is>
      </c>
      <c r="N11" s="17" t="inlineStr">
        <is>
          <t>square business logo/avatar for the circular profile image over the hero</t>
        </is>
      </c>
      <c r="O11" s="12" t="inlineStr">
        <is>
          <t>High</t>
        </is>
      </c>
    </row>
    <row r="12" ht="49" customHeight="1">
      <c r="A12" s="6" t="inlineStr">
        <is>
          <t>2cf2cdf4-9828-5d73-8869-143b1633a9e3</t>
        </is>
      </c>
      <c r="B12" s="6" t="inlineStr">
        <is>
          <t>bodega-taqueria-south-beach</t>
        </is>
      </c>
      <c r="C12" s="6" t="inlineStr">
        <is>
          <t>The Porta-Potty Portal</t>
        </is>
      </c>
      <c r="D12" s="6" t="inlineStr">
        <is>
          <t>Bodega Taqueria y Tequila South Beach (Hidden Speakeasy)</t>
        </is>
      </c>
      <c r="E12" s="6" t="inlineStr">
        <is>
          <t>Hero Image</t>
        </is>
      </c>
      <c r="F12" s="9" t="inlineStr">
        <is>
          <t>Website</t>
        </is>
      </c>
      <c r="G12" s="9" t="inlineStr">
        <is>
          <t>Instagram</t>
        </is>
      </c>
      <c r="H12" s="12" t="inlineStr">
        <is>
          <t>Needs Sourcing</t>
        </is>
      </c>
      <c r="I12" s="10" t="n">
        <v>3</v>
      </c>
      <c r="J12" s="10" t="n">
        <v>0</v>
      </c>
      <c r="K12" s="6" t="inlineStr">
        <is>
          <t>Official Website</t>
        </is>
      </c>
      <c r="L12" s="9" t="inlineStr">
        <is>
          <t>Open Source</t>
        </is>
      </c>
      <c r="M12" s="11" t="inlineStr">
        <is>
          <t>https://unsplash.com/s/photos/Bodega%20Taqueria%20y%20Tequila%20South%20Beach%20(Hidden%20Speakeasy)%20miami | https://www.bodegataqueria.com/location/southbeach/ | https://www.instagram.com/bodegataqueria/</t>
        </is>
      </c>
      <c r="N12" s="11" t="inlineStr">
        <is>
          <t>authentic venue/experience photo, ≥800px wide, no generic stock</t>
        </is>
      </c>
      <c r="O12" s="12" t="inlineStr">
        <is>
          <t>High</t>
        </is>
      </c>
    </row>
    <row r="13" ht="34" customHeight="1">
      <c r="A13" s="13" t="inlineStr">
        <is>
          <t>2cf2cdf4-9828-5d73-8869-143b1633a9e3</t>
        </is>
      </c>
      <c r="B13" s="13" t="inlineStr">
        <is>
          <t>bodega-taqueria-south-beach</t>
        </is>
      </c>
      <c r="C13" s="13" t="inlineStr">
        <is>
          <t>The Porta-Potty Portal</t>
        </is>
      </c>
      <c r="D13" s="13" t="inlineStr">
        <is>
          <t>Bodega Taqueria y Tequila South Beach (Hidden Speakeasy)</t>
        </is>
      </c>
      <c r="E13" s="13" t="inlineStr">
        <is>
          <t>Venue Logo</t>
        </is>
      </c>
      <c r="F13" s="15" t="inlineStr">
        <is>
          <t>Website</t>
        </is>
      </c>
      <c r="G13" s="15" t="inlineStr">
        <is>
          <t>Instagram</t>
        </is>
      </c>
      <c r="H13" s="12" t="inlineStr">
        <is>
          <t>Needs Sourcing</t>
        </is>
      </c>
      <c r="I13" s="16" t="n">
        <v>2</v>
      </c>
      <c r="J13" s="16" t="n">
        <v>0</v>
      </c>
      <c r="K13" s="13" t="inlineStr">
        <is>
          <t>Official Website</t>
        </is>
      </c>
      <c r="L13" s="15" t="inlineStr">
        <is>
          <t>Open Source</t>
        </is>
      </c>
      <c r="M13" s="17" t="inlineStr">
        <is>
          <t>https://www.bodegataqueria.com/location/southbeach/ | https://www.instagram.com/bodegataqueria/</t>
        </is>
      </c>
      <c r="N13" s="17" t="inlineStr">
        <is>
          <t>square business logo/avatar for the circular profile image over the hero</t>
        </is>
      </c>
      <c r="O13" s="12" t="inlineStr">
        <is>
          <t>High</t>
        </is>
      </c>
    </row>
    <row r="14" ht="34" customHeight="1">
      <c r="A14" s="6" t="inlineStr">
        <is>
          <t>7dd057e2-0f2d-5315-8ec9-57bb715c0773</t>
        </is>
      </c>
      <c r="B14" s="6" t="inlineStr">
        <is>
          <t>books-and-books-coral-gables</t>
        </is>
      </c>
      <c r="C14" s="6" t="inlineStr">
        <is>
          <t>Shelf Discovery</t>
        </is>
      </c>
      <c r="D14" s="6" t="inlineStr">
        <is>
          <t>Books &amp; Books - Coral Gables</t>
        </is>
      </c>
      <c r="E14" s="6" t="inlineStr">
        <is>
          <t>Hero Image</t>
        </is>
      </c>
      <c r="F14" s="9" t="inlineStr">
        <is>
          <t>Website</t>
        </is>
      </c>
      <c r="G14" s="9" t="inlineStr">
        <is>
          <t>Instagram</t>
        </is>
      </c>
      <c r="H14" s="12" t="inlineStr">
        <is>
          <t>Needs Sourcing</t>
        </is>
      </c>
      <c r="I14" s="10" t="n">
        <v>3</v>
      </c>
      <c r="J14" s="10" t="n">
        <v>0</v>
      </c>
      <c r="K14" s="6" t="inlineStr">
        <is>
          <t>Official Website</t>
        </is>
      </c>
      <c r="L14" s="9" t="inlineStr">
        <is>
          <t>Open Source</t>
        </is>
      </c>
      <c r="M14" s="11" t="inlineStr">
        <is>
          <t>https://unsplash.com/s/photos/Books%20%26%20Books%20-%20Coral%20Gables%20miami | https://www.booksandbooks.com/ | https://www.instagram.com/booksandbooks/</t>
        </is>
      </c>
      <c r="N14" s="11" t="inlineStr">
        <is>
          <t>authentic venue/experience photo, ≥800px wide, no generic stock</t>
        </is>
      </c>
      <c r="O14" s="12" t="inlineStr">
        <is>
          <t>High</t>
        </is>
      </c>
    </row>
    <row r="15" ht="19" customHeight="1">
      <c r="A15" s="13" t="inlineStr">
        <is>
          <t>7dd057e2-0f2d-5315-8ec9-57bb715c0773</t>
        </is>
      </c>
      <c r="B15" s="13" t="inlineStr">
        <is>
          <t>books-and-books-coral-gables</t>
        </is>
      </c>
      <c r="C15" s="13" t="inlineStr">
        <is>
          <t>Shelf Discovery</t>
        </is>
      </c>
      <c r="D15" s="13" t="inlineStr">
        <is>
          <t>Books &amp; Books - Coral Gables</t>
        </is>
      </c>
      <c r="E15" s="13" t="inlineStr">
        <is>
          <t>Venue Logo</t>
        </is>
      </c>
      <c r="F15" s="15" t="inlineStr">
        <is>
          <t>Website</t>
        </is>
      </c>
      <c r="G15" s="15" t="inlineStr">
        <is>
          <t>Instagram</t>
        </is>
      </c>
      <c r="H15" s="12" t="inlineStr">
        <is>
          <t>Needs Sourcing</t>
        </is>
      </c>
      <c r="I15" s="16" t="n">
        <v>2</v>
      </c>
      <c r="J15" s="16" t="n">
        <v>0</v>
      </c>
      <c r="K15" s="13" t="inlineStr">
        <is>
          <t>Official Website</t>
        </is>
      </c>
      <c r="L15" s="15" t="inlineStr">
        <is>
          <t>Open Source</t>
        </is>
      </c>
      <c r="M15" s="17" t="inlineStr">
        <is>
          <t>https://www.booksandbooks.com/ | https://www.instagram.com/booksandbooks/</t>
        </is>
      </c>
      <c r="N15" s="17" t="inlineStr">
        <is>
          <t>square business logo/avatar for the circular profile image over the hero</t>
        </is>
      </c>
      <c r="O15" s="12" t="inlineStr">
        <is>
          <t>High</t>
        </is>
      </c>
    </row>
    <row r="16" ht="34" customHeight="1">
      <c r="A16" s="6" t="inlineStr">
        <is>
          <t>8e77ef26-b4ac-574b-9b46-06a276d7577e</t>
        </is>
      </c>
      <c r="B16" s="6" t="inlineStr">
        <is>
          <t>brewing-buddha-pinecrest</t>
        </is>
      </c>
      <c r="C16" s="6" t="inlineStr">
        <is>
          <t>The Buddha's Gallery</t>
        </is>
      </c>
      <c r="D16" s="6" t="inlineStr">
        <is>
          <t>Brewing Buddha Cafe &amp; Arthouse</t>
        </is>
      </c>
      <c r="E16" s="6" t="inlineStr">
        <is>
          <t>Hero Image</t>
        </is>
      </c>
      <c r="F16" s="9" t="inlineStr">
        <is>
          <t>Website</t>
        </is>
      </c>
      <c r="G16" s="9" t="inlineStr">
        <is>
          <t>Instagram</t>
        </is>
      </c>
      <c r="H16" s="12" t="inlineStr">
        <is>
          <t>Needs Sourcing</t>
        </is>
      </c>
      <c r="I16" s="10" t="n">
        <v>3</v>
      </c>
      <c r="J16" s="10" t="n">
        <v>0</v>
      </c>
      <c r="K16" s="6" t="inlineStr">
        <is>
          <t>Official Website</t>
        </is>
      </c>
      <c r="L16" s="9" t="inlineStr">
        <is>
          <t>Open Source</t>
        </is>
      </c>
      <c r="M16" s="11" t="inlineStr">
        <is>
          <t>https://unsplash.com/s/photos/Brewing%20Buddha%20Cafe%20%26%20Arthouse%20miami | https://www.brewingbuddha.com/ | https://www.instagram.com/brewingbuddha/</t>
        </is>
      </c>
      <c r="N16" s="11" t="inlineStr">
        <is>
          <t>authentic venue/experience photo, ≥800px wide, no generic stock</t>
        </is>
      </c>
      <c r="O16" s="12" t="inlineStr">
        <is>
          <t>High</t>
        </is>
      </c>
    </row>
    <row r="17" ht="19" customHeight="1">
      <c r="A17" s="13" t="inlineStr">
        <is>
          <t>8e77ef26-b4ac-574b-9b46-06a276d7577e</t>
        </is>
      </c>
      <c r="B17" s="13" t="inlineStr">
        <is>
          <t>brewing-buddha-pinecrest</t>
        </is>
      </c>
      <c r="C17" s="13" t="inlineStr">
        <is>
          <t>The Buddha's Gallery</t>
        </is>
      </c>
      <c r="D17" s="13" t="inlineStr">
        <is>
          <t>Brewing Buddha Cafe &amp; Arthouse</t>
        </is>
      </c>
      <c r="E17" s="13" t="inlineStr">
        <is>
          <t>Venue Logo</t>
        </is>
      </c>
      <c r="F17" s="15" t="inlineStr">
        <is>
          <t>Website</t>
        </is>
      </c>
      <c r="G17" s="15" t="inlineStr">
        <is>
          <t>Instagram</t>
        </is>
      </c>
      <c r="H17" s="12" t="inlineStr">
        <is>
          <t>Needs Sourcing</t>
        </is>
      </c>
      <c r="I17" s="16" t="n">
        <v>2</v>
      </c>
      <c r="J17" s="16" t="n">
        <v>0</v>
      </c>
      <c r="K17" s="13" t="inlineStr">
        <is>
          <t>Official Website</t>
        </is>
      </c>
      <c r="L17" s="15" t="inlineStr">
        <is>
          <t>Open Source</t>
        </is>
      </c>
      <c r="M17" s="17" t="inlineStr">
        <is>
          <t>https://www.brewingbuddha.com/ | https://www.instagram.com/brewingbuddha/</t>
        </is>
      </c>
      <c r="N17" s="17" t="inlineStr">
        <is>
          <t>square business logo/avatar for the circular profile image over the hero</t>
        </is>
      </c>
      <c r="O17" s="12" t="inlineStr">
        <is>
          <t>High</t>
        </is>
      </c>
    </row>
    <row r="18" ht="34" customHeight="1">
      <c r="A18" s="6" t="inlineStr">
        <is>
          <t>5cb22f72-5dd3-526f-9ef4-63e9926b1f0f</t>
        </is>
      </c>
      <c r="B18" s="6" t="inlineStr">
        <is>
          <t>brickell-city-centre</t>
        </is>
      </c>
      <c r="C18" s="6" t="inlineStr">
        <is>
          <t>The Vertical City</t>
        </is>
      </c>
      <c r="D18" s="6" t="inlineStr">
        <is>
          <t>Brickell City Centre</t>
        </is>
      </c>
      <c r="E18" s="6" t="inlineStr">
        <is>
          <t>Hero Image</t>
        </is>
      </c>
      <c r="F18" s="9" t="inlineStr">
        <is>
          <t>Website</t>
        </is>
      </c>
      <c r="G18" s="9" t="inlineStr">
        <is>
          <t>Instagram</t>
        </is>
      </c>
      <c r="H18" s="12" t="inlineStr">
        <is>
          <t>Needs Sourcing</t>
        </is>
      </c>
      <c r="I18" s="10" t="n">
        <v>3</v>
      </c>
      <c r="J18" s="10" t="n">
        <v>0</v>
      </c>
      <c r="K18" s="6" t="inlineStr">
        <is>
          <t>Official Website</t>
        </is>
      </c>
      <c r="L18" s="9" t="inlineStr">
        <is>
          <t>Open Source</t>
        </is>
      </c>
      <c r="M18" s="11" t="inlineStr">
        <is>
          <t>https://brickellcitycentre.com/ | https://unsplash.com/s/photos/Brickell%20City%20Centre%20miami | https://www.instagram.com/brickellcitycentre/</t>
        </is>
      </c>
      <c r="N18" s="11" t="inlineStr">
        <is>
          <t>authentic venue/experience photo, ≥800px wide, no generic stock</t>
        </is>
      </c>
      <c r="O18" s="12" t="inlineStr">
        <is>
          <t>High</t>
        </is>
      </c>
    </row>
    <row r="19" ht="19" customHeight="1">
      <c r="A19" s="13" t="inlineStr">
        <is>
          <t>5cb22f72-5dd3-526f-9ef4-63e9926b1f0f</t>
        </is>
      </c>
      <c r="B19" s="13" t="inlineStr">
        <is>
          <t>brickell-city-centre</t>
        </is>
      </c>
      <c r="C19" s="13" t="inlineStr">
        <is>
          <t>The Vertical City</t>
        </is>
      </c>
      <c r="D19" s="13" t="inlineStr">
        <is>
          <t>Brickell City Centre</t>
        </is>
      </c>
      <c r="E19" s="13" t="inlineStr">
        <is>
          <t>Venue Logo</t>
        </is>
      </c>
      <c r="F19" s="15" t="inlineStr">
        <is>
          <t>Website</t>
        </is>
      </c>
      <c r="G19" s="15" t="inlineStr">
        <is>
          <t>Instagram</t>
        </is>
      </c>
      <c r="H19" s="12" t="inlineStr">
        <is>
          <t>Needs Sourcing</t>
        </is>
      </c>
      <c r="I19" s="16" t="n">
        <v>2</v>
      </c>
      <c r="J19" s="16" t="n">
        <v>0</v>
      </c>
      <c r="K19" s="13" t="inlineStr">
        <is>
          <t>Official Website</t>
        </is>
      </c>
      <c r="L19" s="15" t="inlineStr">
        <is>
          <t>Open Source</t>
        </is>
      </c>
      <c r="M19" s="17" t="inlineStr">
        <is>
          <t>https://brickellcitycentre.com/ | https://www.instagram.com/brickellcitycentre/</t>
        </is>
      </c>
      <c r="N19" s="17" t="inlineStr">
        <is>
          <t>square business logo/avatar for the circular profile image over the hero</t>
        </is>
      </c>
      <c r="O19" s="12" t="inlineStr">
        <is>
          <t>High</t>
        </is>
      </c>
    </row>
    <row r="20" ht="49" customHeight="1">
      <c r="A20" s="6" t="inlineStr">
        <is>
          <t>ae7a8290-897f-5083-af13-c75ce4b3f143</t>
        </is>
      </c>
      <c r="B20" s="6" t="inlineStr">
        <is>
          <t>broken-shaker-miami-beach</t>
        </is>
      </c>
      <c r="C20" s="6" t="inlineStr">
        <is>
          <t>The Pop-Up That Stayed</t>
        </is>
      </c>
      <c r="D20" s="6" t="inlineStr">
        <is>
          <t>Broken Shaker at Freehand Miami</t>
        </is>
      </c>
      <c r="E20" s="6" t="inlineStr">
        <is>
          <t>Hero Image</t>
        </is>
      </c>
      <c r="F20" s="9" t="inlineStr">
        <is>
          <t>Website</t>
        </is>
      </c>
      <c r="G20" s="9" t="inlineStr">
        <is>
          <t>Instagram</t>
        </is>
      </c>
      <c r="H20" s="12" t="inlineStr">
        <is>
          <t>Needs Sourcing</t>
        </is>
      </c>
      <c r="I20" s="10" t="n">
        <v>3</v>
      </c>
      <c r="J20" s="10" t="n">
        <v>0</v>
      </c>
      <c r="K20" s="6" t="inlineStr">
        <is>
          <t>Official Website</t>
        </is>
      </c>
      <c r="L20" s="9" t="inlineStr">
        <is>
          <t>Open Source</t>
        </is>
      </c>
      <c r="M20" s="11" t="inlineStr">
        <is>
          <t>https://unsplash.com/s/photos/Broken%20Shaker%20at%20Freehand%20Miami%20miami | https://www.brokenshaker.com/location/miami-hours-and-location/ | https://www.instagram.com/brokenshaker/</t>
        </is>
      </c>
      <c r="N20" s="11" t="inlineStr">
        <is>
          <t>authentic venue/experience photo, ≥800px wide, no generic stock</t>
        </is>
      </c>
      <c r="O20" s="12" t="inlineStr">
        <is>
          <t>High</t>
        </is>
      </c>
    </row>
    <row r="21" ht="34" customHeight="1">
      <c r="A21" s="13" t="inlineStr">
        <is>
          <t>ae7a8290-897f-5083-af13-c75ce4b3f143</t>
        </is>
      </c>
      <c r="B21" s="13" t="inlineStr">
        <is>
          <t>broken-shaker-miami-beach</t>
        </is>
      </c>
      <c r="C21" s="13" t="inlineStr">
        <is>
          <t>The Pop-Up That Stayed</t>
        </is>
      </c>
      <c r="D21" s="13" t="inlineStr">
        <is>
          <t>Broken Shaker at Freehand Miami</t>
        </is>
      </c>
      <c r="E21" s="13" t="inlineStr">
        <is>
          <t>Venue Logo</t>
        </is>
      </c>
      <c r="F21" s="15" t="inlineStr">
        <is>
          <t>Website</t>
        </is>
      </c>
      <c r="G21" s="15" t="inlineStr">
        <is>
          <t>Instagram</t>
        </is>
      </c>
      <c r="H21" s="12" t="inlineStr">
        <is>
          <t>Needs Sourcing</t>
        </is>
      </c>
      <c r="I21" s="16" t="n">
        <v>2</v>
      </c>
      <c r="J21" s="16" t="n">
        <v>0</v>
      </c>
      <c r="K21" s="13" t="inlineStr">
        <is>
          <t>Official Website</t>
        </is>
      </c>
      <c r="L21" s="15" t="inlineStr">
        <is>
          <t>Open Source</t>
        </is>
      </c>
      <c r="M21" s="17" t="inlineStr">
        <is>
          <t>https://www.brokenshaker.com/location/miami-hours-and-location/ | https://www.instagram.com/brokenshaker/</t>
        </is>
      </c>
      <c r="N21" s="17" t="inlineStr">
        <is>
          <t>square business logo/avatar for the circular profile image over the hero</t>
        </is>
      </c>
      <c r="O21" s="12" t="inlineStr">
        <is>
          <t>High</t>
        </is>
      </c>
    </row>
    <row r="22" ht="34" customHeight="1">
      <c r="A22" s="6" t="inlineStr">
        <is>
          <t>8f832778-54cd-5d54-bad1-f820de54ea39</t>
        </is>
      </c>
      <c r="B22" s="6" t="inlineStr">
        <is>
          <t>citizens-miamicentral</t>
        </is>
      </c>
      <c r="C22" s="6" t="inlineStr">
        <is>
          <t>Eat Like a Commuter</t>
        </is>
      </c>
      <c r="D22" s="6" t="inlineStr">
        <is>
          <t>Citizens MiamiCentral</t>
        </is>
      </c>
      <c r="E22" s="6" t="inlineStr">
        <is>
          <t>Hero Image</t>
        </is>
      </c>
      <c r="F22" s="9" t="inlineStr">
        <is>
          <t>Website</t>
        </is>
      </c>
      <c r="G22" s="9" t="inlineStr">
        <is>
          <t>Instagram</t>
        </is>
      </c>
      <c r="H22" s="12" t="inlineStr">
        <is>
          <t>Needs Sourcing</t>
        </is>
      </c>
      <c r="I22" s="10" t="n">
        <v>3</v>
      </c>
      <c r="J22" s="10" t="n">
        <v>0</v>
      </c>
      <c r="K22" s="6" t="inlineStr">
        <is>
          <t>Official Website</t>
        </is>
      </c>
      <c r="L22" s="9" t="inlineStr">
        <is>
          <t>Open Source</t>
        </is>
      </c>
      <c r="M22" s="11" t="inlineStr">
        <is>
          <t>https://unsplash.com/s/photos/Citizens%20MiamiCentral%20miami | https://www.gobrightline.com/ | https://www.instagram.com/citizens_miamicentral/</t>
        </is>
      </c>
      <c r="N22" s="11" t="inlineStr">
        <is>
          <t>authentic venue/experience photo, ≥800px wide, no generic stock</t>
        </is>
      </c>
      <c r="O22" s="12" t="inlineStr">
        <is>
          <t>High</t>
        </is>
      </c>
    </row>
    <row r="23" ht="19" customHeight="1">
      <c r="A23" s="13" t="inlineStr">
        <is>
          <t>8f832778-54cd-5d54-bad1-f820de54ea39</t>
        </is>
      </c>
      <c r="B23" s="13" t="inlineStr">
        <is>
          <t>citizens-miamicentral</t>
        </is>
      </c>
      <c r="C23" s="13" t="inlineStr">
        <is>
          <t>Eat Like a Commuter</t>
        </is>
      </c>
      <c r="D23" s="13" t="inlineStr">
        <is>
          <t>Citizens MiamiCentral</t>
        </is>
      </c>
      <c r="E23" s="13" t="inlineStr">
        <is>
          <t>Venue Logo</t>
        </is>
      </c>
      <c r="F23" s="15" t="inlineStr">
        <is>
          <t>Website</t>
        </is>
      </c>
      <c r="G23" s="15" t="inlineStr">
        <is>
          <t>Instagram</t>
        </is>
      </c>
      <c r="H23" s="12" t="inlineStr">
        <is>
          <t>Needs Sourcing</t>
        </is>
      </c>
      <c r="I23" s="16" t="n">
        <v>2</v>
      </c>
      <c r="J23" s="16" t="n">
        <v>0</v>
      </c>
      <c r="K23" s="13" t="inlineStr">
        <is>
          <t>Official Website</t>
        </is>
      </c>
      <c r="L23" s="15" t="inlineStr">
        <is>
          <t>Open Source</t>
        </is>
      </c>
      <c r="M23" s="17" t="inlineStr">
        <is>
          <t>https://www.gobrightline.com/ | https://www.instagram.com/citizens_miamicentral/</t>
        </is>
      </c>
      <c r="N23" s="17" t="inlineStr">
        <is>
          <t>square business logo/avatar for the circular profile image over the hero</t>
        </is>
      </c>
      <c r="O23" s="12" t="inlineStr">
        <is>
          <t>High</t>
        </is>
      </c>
    </row>
    <row r="24" ht="34" customHeight="1">
      <c r="A24" s="6" t="inlineStr">
        <is>
          <t>7eebe307-0a32-5996-9258-2068eae3df78</t>
        </is>
      </c>
      <c r="B24" s="6" t="inlineStr">
        <is>
          <t>coral-gables-congregational-church</t>
        </is>
      </c>
      <c r="C24" s="6" t="inlineStr">
        <is>
          <t>The Landmark Across the Way</t>
        </is>
      </c>
      <c r="D24" s="6" t="inlineStr">
        <is>
          <t>Coral Gables Congregational United Church of Christ</t>
        </is>
      </c>
      <c r="E24" s="6" t="inlineStr">
        <is>
          <t>Hero Image</t>
        </is>
      </c>
      <c r="F24" s="9" t="inlineStr">
        <is>
          <t>Website</t>
        </is>
      </c>
      <c r="G24" s="9" t="inlineStr">
        <is>
          <t>Instagram</t>
        </is>
      </c>
      <c r="H24" s="12" t="inlineStr">
        <is>
          <t>Needs Sourcing</t>
        </is>
      </c>
      <c r="I24" s="10" t="n">
        <v>3</v>
      </c>
      <c r="J24" s="10" t="n">
        <v>0</v>
      </c>
      <c r="K24" s="6" t="inlineStr">
        <is>
          <t>Official Website</t>
        </is>
      </c>
      <c r="L24" s="9" t="inlineStr">
        <is>
          <t>Open Source</t>
        </is>
      </c>
      <c r="M24" s="11" t="inlineStr">
        <is>
          <t>https://gablesucc.org/ | https://unsplash.com/s/photos/Coral%20Gables%20Congregational%20United%20Church%20of%20Christ%20miami | https://www.instagram.com/coralgablesucc/</t>
        </is>
      </c>
      <c r="N24" s="11" t="inlineStr">
        <is>
          <t>authentic venue/experience photo, ≥800px wide, no generic stock</t>
        </is>
      </c>
      <c r="O24" s="12" t="inlineStr">
        <is>
          <t>High</t>
        </is>
      </c>
    </row>
    <row r="25" ht="19" customHeight="1">
      <c r="A25" s="13" t="inlineStr">
        <is>
          <t>7eebe307-0a32-5996-9258-2068eae3df78</t>
        </is>
      </c>
      <c r="B25" s="13" t="inlineStr">
        <is>
          <t>coral-gables-congregational-church</t>
        </is>
      </c>
      <c r="C25" s="13" t="inlineStr">
        <is>
          <t>The Landmark Across the Way</t>
        </is>
      </c>
      <c r="D25" s="13" t="inlineStr">
        <is>
          <t>Coral Gables Congregational United Church of Christ</t>
        </is>
      </c>
      <c r="E25" s="13" t="inlineStr">
        <is>
          <t>Venue Logo</t>
        </is>
      </c>
      <c r="F25" s="15" t="inlineStr">
        <is>
          <t>Website</t>
        </is>
      </c>
      <c r="G25" s="15" t="inlineStr">
        <is>
          <t>Instagram</t>
        </is>
      </c>
      <c r="H25" s="12" t="inlineStr">
        <is>
          <t>Needs Sourcing</t>
        </is>
      </c>
      <c r="I25" s="16" t="n">
        <v>2</v>
      </c>
      <c r="J25" s="16" t="n">
        <v>0</v>
      </c>
      <c r="K25" s="13" t="inlineStr">
        <is>
          <t>Official Website</t>
        </is>
      </c>
      <c r="L25" s="15" t="inlineStr">
        <is>
          <t>Open Source</t>
        </is>
      </c>
      <c r="M25" s="17" t="inlineStr">
        <is>
          <t>https://gablesucc.org/ | https://www.instagram.com/coralgablesucc/</t>
        </is>
      </c>
      <c r="N25" s="17" t="inlineStr">
        <is>
          <t>square business logo/avatar for the circular profile image over the hero</t>
        </is>
      </c>
      <c r="O25" s="12" t="inlineStr">
        <is>
          <t>High</t>
        </is>
      </c>
    </row>
    <row r="26" ht="34" customHeight="1">
      <c r="A26" s="6" t="inlineStr">
        <is>
          <t>e73d0b6d-92ad-5e5b-9c54-f2a61257fec0</t>
        </is>
      </c>
      <c r="B26" s="6" t="inlineStr">
        <is>
          <t>dale-zine-design-district</t>
        </is>
      </c>
      <c r="C26" s="6" t="inlineStr">
        <is>
          <t>Small Press, Big Energy</t>
        </is>
      </c>
      <c r="D26" s="6" t="inlineStr">
        <is>
          <t>Dale Zine Shop</t>
        </is>
      </c>
      <c r="E26" s="6" t="inlineStr">
        <is>
          <t>Hero Image</t>
        </is>
      </c>
      <c r="F26" s="9" t="inlineStr">
        <is>
          <t>Website</t>
        </is>
      </c>
      <c r="G26" s="9" t="inlineStr">
        <is>
          <t>Instagram</t>
        </is>
      </c>
      <c r="H26" s="12" t="inlineStr">
        <is>
          <t>Needs Sourcing</t>
        </is>
      </c>
      <c r="I26" s="10" t="n">
        <v>3</v>
      </c>
      <c r="J26" s="10" t="n">
        <v>0</v>
      </c>
      <c r="K26" s="6" t="inlineStr">
        <is>
          <t>Official Website</t>
        </is>
      </c>
      <c r="L26" s="9" t="inlineStr">
        <is>
          <t>Open Source</t>
        </is>
      </c>
      <c r="M26" s="11" t="inlineStr">
        <is>
          <t>https://dalezine.com/ | https://unsplash.com/s/photos/Dale%20Zine%20Shop%20miami | https://www.instagram.com/dale_zine/</t>
        </is>
      </c>
      <c r="N26" s="11" t="inlineStr">
        <is>
          <t>authentic venue/experience photo, ≥800px wide, no generic stock</t>
        </is>
      </c>
      <c r="O26" s="12" t="inlineStr">
        <is>
          <t>High</t>
        </is>
      </c>
    </row>
    <row r="27" ht="19" customHeight="1">
      <c r="A27" s="13" t="inlineStr">
        <is>
          <t>e73d0b6d-92ad-5e5b-9c54-f2a61257fec0</t>
        </is>
      </c>
      <c r="B27" s="13" t="inlineStr">
        <is>
          <t>dale-zine-design-district</t>
        </is>
      </c>
      <c r="C27" s="13" t="inlineStr">
        <is>
          <t>Small Press, Big Energy</t>
        </is>
      </c>
      <c r="D27" s="13" t="inlineStr">
        <is>
          <t>Dale Zine Shop</t>
        </is>
      </c>
      <c r="E27" s="13" t="inlineStr">
        <is>
          <t>Venue Logo</t>
        </is>
      </c>
      <c r="F27" s="15" t="inlineStr">
        <is>
          <t>Website</t>
        </is>
      </c>
      <c r="G27" s="15" t="inlineStr">
        <is>
          <t>Instagram</t>
        </is>
      </c>
      <c r="H27" s="12" t="inlineStr">
        <is>
          <t>Needs Sourcing</t>
        </is>
      </c>
      <c r="I27" s="16" t="n">
        <v>2</v>
      </c>
      <c r="J27" s="16" t="n">
        <v>0</v>
      </c>
      <c r="K27" s="13" t="inlineStr">
        <is>
          <t>Official Website</t>
        </is>
      </c>
      <c r="L27" s="15" t="inlineStr">
        <is>
          <t>Open Source</t>
        </is>
      </c>
      <c r="M27" s="17" t="inlineStr">
        <is>
          <t>https://dalezine.com/ | https://www.instagram.com/dale_zine/</t>
        </is>
      </c>
      <c r="N27" s="17" t="inlineStr">
        <is>
          <t>square business logo/avatar for the circular profile image over the hero</t>
        </is>
      </c>
      <c r="O27" s="12" t="inlineStr">
        <is>
          <t>High</t>
        </is>
      </c>
    </row>
    <row r="28" ht="34" customHeight="1">
      <c r="A28" s="6" t="inlineStr">
        <is>
          <t>c7725659-24d7-51eb-ba92-468c2622bbce</t>
        </is>
      </c>
      <c r="B28" s="6" t="inlineStr">
        <is>
          <t>dantes-hifi-wynwood</t>
        </is>
      </c>
      <c r="C28" s="6" t="inlineStr">
        <is>
          <t>Drop the Needle</t>
        </is>
      </c>
      <c r="D28" s="6" t="inlineStr">
        <is>
          <t>Dante's HiFi</t>
        </is>
      </c>
      <c r="E28" s="6" t="inlineStr">
        <is>
          <t>Hero Image</t>
        </is>
      </c>
      <c r="F28" s="9" t="inlineStr">
        <is>
          <t>Website</t>
        </is>
      </c>
      <c r="G28" s="9" t="inlineStr">
        <is>
          <t>Instagram</t>
        </is>
      </c>
      <c r="H28" s="12" t="inlineStr">
        <is>
          <t>Needs Sourcing</t>
        </is>
      </c>
      <c r="I28" s="10" t="n">
        <v>3</v>
      </c>
      <c r="J28" s="10" t="n">
        <v>0</v>
      </c>
      <c r="K28" s="6" t="inlineStr">
        <is>
          <t>Official Website</t>
        </is>
      </c>
      <c r="L28" s="9" t="inlineStr">
        <is>
          <t>Open Source</t>
        </is>
      </c>
      <c r="M28" s="11" t="inlineStr">
        <is>
          <t>https://danteshifi.com/ | https://unsplash.com/s/photos/Dante's%20HiFi%20miami | https://www.instagram.com/danteshifi/</t>
        </is>
      </c>
      <c r="N28" s="11" t="inlineStr">
        <is>
          <t>authentic venue/experience photo, ≥800px wide, no generic stock</t>
        </is>
      </c>
      <c r="O28" s="12" t="inlineStr">
        <is>
          <t>High</t>
        </is>
      </c>
    </row>
    <row r="29" ht="19" customHeight="1">
      <c r="A29" s="13" t="inlineStr">
        <is>
          <t>c7725659-24d7-51eb-ba92-468c2622bbce</t>
        </is>
      </c>
      <c r="B29" s="13" t="inlineStr">
        <is>
          <t>dantes-hifi-wynwood</t>
        </is>
      </c>
      <c r="C29" s="13" t="inlineStr">
        <is>
          <t>Drop the Needle</t>
        </is>
      </c>
      <c r="D29" s="13" t="inlineStr">
        <is>
          <t>Dante's HiFi</t>
        </is>
      </c>
      <c r="E29" s="13" t="inlineStr">
        <is>
          <t>Venue Logo</t>
        </is>
      </c>
      <c r="F29" s="15" t="inlineStr">
        <is>
          <t>Website</t>
        </is>
      </c>
      <c r="G29" s="15" t="inlineStr">
        <is>
          <t>Instagram</t>
        </is>
      </c>
      <c r="H29" s="12" t="inlineStr">
        <is>
          <t>Needs Sourcing</t>
        </is>
      </c>
      <c r="I29" s="16" t="n">
        <v>2</v>
      </c>
      <c r="J29" s="16" t="n">
        <v>0</v>
      </c>
      <c r="K29" s="13" t="inlineStr">
        <is>
          <t>Official Website</t>
        </is>
      </c>
      <c r="L29" s="15" t="inlineStr">
        <is>
          <t>Open Source</t>
        </is>
      </c>
      <c r="M29" s="17" t="inlineStr">
        <is>
          <t>https://danteshifi.com/ | https://www.instagram.com/danteshifi/</t>
        </is>
      </c>
      <c r="N29" s="17" t="inlineStr">
        <is>
          <t>square business logo/avatar for the circular profile image over the hero</t>
        </is>
      </c>
      <c r="O29" s="12" t="inlineStr">
        <is>
          <t>High</t>
        </is>
      </c>
    </row>
    <row r="30" ht="34" customHeight="1">
      <c r="A30" s="6" t="inlineStr">
        <is>
          <t>46d7501e-7aca-586d-a099-b8af0607d8e0</t>
        </is>
      </c>
      <c r="B30" s="6" t="inlineStr">
        <is>
          <t>dasher-and-crank-wynwood</t>
        </is>
      </c>
      <c r="C30" s="6" t="inlineStr">
        <is>
          <t>The Dasher &amp; Crank Riddle</t>
        </is>
      </c>
      <c r="D30" s="6" t="inlineStr">
        <is>
          <t>Dasher &amp; Crank</t>
        </is>
      </c>
      <c r="E30" s="6" t="inlineStr">
        <is>
          <t>Hero Image</t>
        </is>
      </c>
      <c r="F30" s="9" t="inlineStr">
        <is>
          <t>Website</t>
        </is>
      </c>
      <c r="G30" s="9" t="inlineStr">
        <is>
          <t>Instagram</t>
        </is>
      </c>
      <c r="H30" s="12" t="inlineStr">
        <is>
          <t>Needs Sourcing</t>
        </is>
      </c>
      <c r="I30" s="10" t="n">
        <v>3</v>
      </c>
      <c r="J30" s="10" t="n">
        <v>0</v>
      </c>
      <c r="K30" s="6" t="inlineStr">
        <is>
          <t>Official Website</t>
        </is>
      </c>
      <c r="L30" s="9" t="inlineStr">
        <is>
          <t>Open Source</t>
        </is>
      </c>
      <c r="M30" s="11" t="inlineStr">
        <is>
          <t>https://dasherandcrank.com/ | https://unsplash.com/s/photos/Dasher%20%26%20Crank%20miami | https://www.instagram.com/dashercrank/</t>
        </is>
      </c>
      <c r="N30" s="11" t="inlineStr">
        <is>
          <t>authentic venue/experience photo, ≥800px wide, no generic stock</t>
        </is>
      </c>
      <c r="O30" s="12" t="inlineStr">
        <is>
          <t>High</t>
        </is>
      </c>
    </row>
    <row r="31" ht="19" customHeight="1">
      <c r="A31" s="13" t="inlineStr">
        <is>
          <t>46d7501e-7aca-586d-a099-b8af0607d8e0</t>
        </is>
      </c>
      <c r="B31" s="13" t="inlineStr">
        <is>
          <t>dasher-and-crank-wynwood</t>
        </is>
      </c>
      <c r="C31" s="13" t="inlineStr">
        <is>
          <t>The Dasher &amp; Crank Riddle</t>
        </is>
      </c>
      <c r="D31" s="13" t="inlineStr">
        <is>
          <t>Dasher &amp; Crank</t>
        </is>
      </c>
      <c r="E31" s="13" t="inlineStr">
        <is>
          <t>Venue Logo</t>
        </is>
      </c>
      <c r="F31" s="15" t="inlineStr">
        <is>
          <t>Website</t>
        </is>
      </c>
      <c r="G31" s="15" t="inlineStr">
        <is>
          <t>Instagram</t>
        </is>
      </c>
      <c r="H31" s="12" t="inlineStr">
        <is>
          <t>Needs Sourcing</t>
        </is>
      </c>
      <c r="I31" s="16" t="n">
        <v>2</v>
      </c>
      <c r="J31" s="16" t="n">
        <v>0</v>
      </c>
      <c r="K31" s="13" t="inlineStr">
        <is>
          <t>Official Website</t>
        </is>
      </c>
      <c r="L31" s="15" t="inlineStr">
        <is>
          <t>Open Source</t>
        </is>
      </c>
      <c r="M31" s="17" t="inlineStr">
        <is>
          <t>https://dasherandcrank.com/ | https://www.instagram.com/dashercrank/</t>
        </is>
      </c>
      <c r="N31" s="17" t="inlineStr">
        <is>
          <t>square business logo/avatar for the circular profile image over the hero</t>
        </is>
      </c>
      <c r="O31" s="12" t="inlineStr">
        <is>
          <t>High</t>
        </is>
      </c>
    </row>
    <row r="32" ht="34" customHeight="1">
      <c r="A32" s="6" t="inlineStr">
        <is>
          <t>fc2b6028-5ab4-5b0d-897b-b2a91baadbf9</t>
        </is>
      </c>
      <c r="B32" s="6" t="inlineStr">
        <is>
          <t>e11even-miami</t>
        </is>
      </c>
      <c r="C32" s="6" t="inlineStr">
        <is>
          <t>The Club That Never Sleeps</t>
        </is>
      </c>
      <c r="D32" s="6" t="inlineStr">
        <is>
          <t>E11EVEN Miami</t>
        </is>
      </c>
      <c r="E32" s="6" t="inlineStr">
        <is>
          <t>Hero Image</t>
        </is>
      </c>
      <c r="F32" s="9" t="inlineStr">
        <is>
          <t>Website</t>
        </is>
      </c>
      <c r="G32" s="9" t="inlineStr">
        <is>
          <t>Instagram</t>
        </is>
      </c>
      <c r="H32" s="12" t="inlineStr">
        <is>
          <t>Needs Sourcing</t>
        </is>
      </c>
      <c r="I32" s="10" t="n">
        <v>3</v>
      </c>
      <c r="J32" s="10" t="n">
        <v>0</v>
      </c>
      <c r="K32" s="6" t="inlineStr">
        <is>
          <t>Official Website</t>
        </is>
      </c>
      <c r="L32" s="9" t="inlineStr">
        <is>
          <t>Open Source</t>
        </is>
      </c>
      <c r="M32" s="11" t="inlineStr">
        <is>
          <t>https://unsplash.com/s/photos/E11EVEN%20Miami%20miami | https://www.11miami.com/ | https://www.instagram.com/11miami/</t>
        </is>
      </c>
      <c r="N32" s="11" t="inlineStr">
        <is>
          <t>authentic venue/experience photo, ≥800px wide, no generic stock</t>
        </is>
      </c>
      <c r="O32" s="12" t="inlineStr">
        <is>
          <t>High</t>
        </is>
      </c>
    </row>
    <row r="33" ht="19" customHeight="1">
      <c r="A33" s="13" t="inlineStr">
        <is>
          <t>fc2b6028-5ab4-5b0d-897b-b2a91baadbf9</t>
        </is>
      </c>
      <c r="B33" s="13" t="inlineStr">
        <is>
          <t>e11even-miami</t>
        </is>
      </c>
      <c r="C33" s="13" t="inlineStr">
        <is>
          <t>The Club That Never Sleeps</t>
        </is>
      </c>
      <c r="D33" s="13" t="inlineStr">
        <is>
          <t>E11EVEN Miami</t>
        </is>
      </c>
      <c r="E33" s="13" t="inlineStr">
        <is>
          <t>Venue Logo</t>
        </is>
      </c>
      <c r="F33" s="15" t="inlineStr">
        <is>
          <t>Website</t>
        </is>
      </c>
      <c r="G33" s="15" t="inlineStr">
        <is>
          <t>Instagram</t>
        </is>
      </c>
      <c r="H33" s="12" t="inlineStr">
        <is>
          <t>Needs Sourcing</t>
        </is>
      </c>
      <c r="I33" s="16" t="n">
        <v>2</v>
      </c>
      <c r="J33" s="16" t="n">
        <v>0</v>
      </c>
      <c r="K33" s="13" t="inlineStr">
        <is>
          <t>Official Website</t>
        </is>
      </c>
      <c r="L33" s="15" t="inlineStr">
        <is>
          <t>Open Source</t>
        </is>
      </c>
      <c r="M33" s="17" t="inlineStr">
        <is>
          <t>https://www.11miami.com/ | https://www.instagram.com/11miami/</t>
        </is>
      </c>
      <c r="N33" s="17" t="inlineStr">
        <is>
          <t>square business logo/avatar for the circular profile image over the hero</t>
        </is>
      </c>
      <c r="O33" s="12" t="inlineStr">
        <is>
          <t>High</t>
        </is>
      </c>
    </row>
    <row r="34" ht="34" customHeight="1">
      <c r="A34" s="6" t="inlineStr">
        <is>
          <t>fb12d6c3-465f-5130-9aa9-d06d87e2a182</t>
        </is>
      </c>
      <c r="B34" s="6" t="inlineStr">
        <is>
          <t>el-carajo-coral-way</t>
        </is>
      </c>
      <c r="C34" s="6" t="inlineStr">
        <is>
          <t>Fill Up on Tapas</t>
        </is>
      </c>
      <c r="D34" s="6" t="inlineStr">
        <is>
          <t>El Carajo</t>
        </is>
      </c>
      <c r="E34" s="6" t="inlineStr">
        <is>
          <t>Hero Image</t>
        </is>
      </c>
      <c r="F34" s="9" t="inlineStr">
        <is>
          <t>Website</t>
        </is>
      </c>
      <c r="G34" s="9" t="inlineStr">
        <is>
          <t>Instagram</t>
        </is>
      </c>
      <c r="H34" s="12" t="inlineStr">
        <is>
          <t>Needs Sourcing</t>
        </is>
      </c>
      <c r="I34" s="10" t="n">
        <v>3</v>
      </c>
      <c r="J34" s="10" t="n">
        <v>0</v>
      </c>
      <c r="K34" s="6" t="inlineStr">
        <is>
          <t>Official Website</t>
        </is>
      </c>
      <c r="L34" s="9" t="inlineStr">
        <is>
          <t>Open Source</t>
        </is>
      </c>
      <c r="M34" s="11" t="inlineStr">
        <is>
          <t>https://el-carajo.com/ | https://unsplash.com/s/photos/El%20Carajo%20miami | https://www.instagram.com/theelcarajo/</t>
        </is>
      </c>
      <c r="N34" s="11" t="inlineStr">
        <is>
          <t>authentic venue/experience photo, ≥800px wide, no generic stock</t>
        </is>
      </c>
      <c r="O34" s="12" t="inlineStr">
        <is>
          <t>High</t>
        </is>
      </c>
    </row>
    <row r="35" ht="19" customHeight="1">
      <c r="A35" s="13" t="inlineStr">
        <is>
          <t>fb12d6c3-465f-5130-9aa9-d06d87e2a182</t>
        </is>
      </c>
      <c r="B35" s="13" t="inlineStr">
        <is>
          <t>el-carajo-coral-way</t>
        </is>
      </c>
      <c r="C35" s="13" t="inlineStr">
        <is>
          <t>Fill Up on Tapas</t>
        </is>
      </c>
      <c r="D35" s="13" t="inlineStr">
        <is>
          <t>El Carajo</t>
        </is>
      </c>
      <c r="E35" s="13" t="inlineStr">
        <is>
          <t>Venue Logo</t>
        </is>
      </c>
      <c r="F35" s="15" t="inlineStr">
        <is>
          <t>Website</t>
        </is>
      </c>
      <c r="G35" s="15" t="inlineStr">
        <is>
          <t>Instagram</t>
        </is>
      </c>
      <c r="H35" s="12" t="inlineStr">
        <is>
          <t>Needs Sourcing</t>
        </is>
      </c>
      <c r="I35" s="16" t="n">
        <v>2</v>
      </c>
      <c r="J35" s="16" t="n">
        <v>0</v>
      </c>
      <c r="K35" s="13" t="inlineStr">
        <is>
          <t>Official Website</t>
        </is>
      </c>
      <c r="L35" s="15" t="inlineStr">
        <is>
          <t>Open Source</t>
        </is>
      </c>
      <c r="M35" s="17" t="inlineStr">
        <is>
          <t>https://el-carajo.com/ | https://www.instagram.com/theelcarajo/</t>
        </is>
      </c>
      <c r="N35" s="17" t="inlineStr">
        <is>
          <t>square business logo/avatar for the circular profile image over the hero</t>
        </is>
      </c>
      <c r="O35" s="12" t="inlineStr">
        <is>
          <t>High</t>
        </is>
      </c>
    </row>
    <row r="36" ht="34" customHeight="1">
      <c r="A36" s="6" t="inlineStr">
        <is>
          <t>6622b17b-0661-580c-ab70-c063ff7be528</t>
        </is>
      </c>
      <c r="B36" s="6" t="inlineStr">
        <is>
          <t>espanola-way</t>
        </is>
      </c>
      <c r="C36" s="6" t="inlineStr">
        <is>
          <t>The Spanish Detour</t>
        </is>
      </c>
      <c r="D36" s="6" t="inlineStr">
        <is>
          <t>Española Way</t>
        </is>
      </c>
      <c r="E36" s="6" t="inlineStr">
        <is>
          <t>Hero Image</t>
        </is>
      </c>
      <c r="F36" s="9" t="inlineStr">
        <is>
          <t>Website</t>
        </is>
      </c>
      <c r="G36" s="9" t="inlineStr">
        <is>
          <t>Instagram</t>
        </is>
      </c>
      <c r="H36" s="12" t="inlineStr">
        <is>
          <t>Needs Sourcing</t>
        </is>
      </c>
      <c r="I36" s="10" t="n">
        <v>3</v>
      </c>
      <c r="J36" s="10" t="n">
        <v>0</v>
      </c>
      <c r="K36" s="6" t="inlineStr">
        <is>
          <t>Official Website</t>
        </is>
      </c>
      <c r="L36" s="9" t="inlineStr">
        <is>
          <t>Open Source</t>
        </is>
      </c>
      <c r="M36" s="11" t="inlineStr">
        <is>
          <t>https://unsplash.com/s/photos/Espa%C3%B1ola%20Way%20miami | https://www.experiencemiamibeach.com/local-attractions/espanola-way | https://www.instagram.com/espanolaway/</t>
        </is>
      </c>
      <c r="N36" s="11" t="inlineStr">
        <is>
          <t>authentic venue/experience photo, ≥800px wide, no generic stock</t>
        </is>
      </c>
      <c r="O36" s="12" t="inlineStr">
        <is>
          <t>High</t>
        </is>
      </c>
    </row>
    <row r="37" ht="34" customHeight="1">
      <c r="A37" s="13" t="inlineStr">
        <is>
          <t>6622b17b-0661-580c-ab70-c063ff7be528</t>
        </is>
      </c>
      <c r="B37" s="13" t="inlineStr">
        <is>
          <t>espanola-way</t>
        </is>
      </c>
      <c r="C37" s="13" t="inlineStr">
        <is>
          <t>The Spanish Detour</t>
        </is>
      </c>
      <c r="D37" s="13" t="inlineStr">
        <is>
          <t>Española Way</t>
        </is>
      </c>
      <c r="E37" s="13" t="inlineStr">
        <is>
          <t>Venue Logo</t>
        </is>
      </c>
      <c r="F37" s="15" t="inlineStr">
        <is>
          <t>Website</t>
        </is>
      </c>
      <c r="G37" s="15" t="inlineStr">
        <is>
          <t>Instagram</t>
        </is>
      </c>
      <c r="H37" s="12" t="inlineStr">
        <is>
          <t>Needs Sourcing</t>
        </is>
      </c>
      <c r="I37" s="16" t="n">
        <v>2</v>
      </c>
      <c r="J37" s="16" t="n">
        <v>0</v>
      </c>
      <c r="K37" s="13" t="inlineStr">
        <is>
          <t>Official Website</t>
        </is>
      </c>
      <c r="L37" s="15" t="inlineStr">
        <is>
          <t>Open Source</t>
        </is>
      </c>
      <c r="M37" s="17" t="inlineStr">
        <is>
          <t>https://www.experiencemiamibeach.com/local-attractions/espanola-way | https://www.instagram.com/espanolaway/</t>
        </is>
      </c>
      <c r="N37" s="17" t="inlineStr">
        <is>
          <t>square business logo/avatar for the circular profile image over the hero</t>
        </is>
      </c>
      <c r="O37" s="12" t="inlineStr">
        <is>
          <t>High</t>
        </is>
      </c>
    </row>
    <row r="38" ht="34" customHeight="1">
      <c r="A38" s="6" t="inlineStr">
        <is>
          <t>6ce551ac-e782-5f2d-9078-0dc88fa4db72</t>
        </is>
      </c>
      <c r="B38" s="6" t="inlineStr">
        <is>
          <t>giralda-plaza</t>
        </is>
      </c>
      <c r="C38" s="6" t="inlineStr">
        <is>
          <t>The Pedestrian's Feast</t>
        </is>
      </c>
      <c r="D38" s="6" t="inlineStr">
        <is>
          <t>Giralda Plaza</t>
        </is>
      </c>
      <c r="E38" s="6" t="inlineStr">
        <is>
          <t>Hero Image</t>
        </is>
      </c>
      <c r="F38" s="9" t="inlineStr">
        <is>
          <t>Website</t>
        </is>
      </c>
      <c r="G38" s="9" t="inlineStr">
        <is>
          <t>Instagram</t>
        </is>
      </c>
      <c r="H38" s="12" t="inlineStr">
        <is>
          <t>Needs Sourcing</t>
        </is>
      </c>
      <c r="I38" s="10" t="n">
        <v>3</v>
      </c>
      <c r="J38" s="10" t="n">
        <v>0</v>
      </c>
      <c r="K38" s="6" t="inlineStr">
        <is>
          <t>Official Website</t>
        </is>
      </c>
      <c r="L38" s="9" t="inlineStr">
        <is>
          <t>Open Source</t>
        </is>
      </c>
      <c r="M38" s="11" t="inlineStr">
        <is>
          <t>https://unsplash.com/s/photos/Giralda%20Plaza%20miami | https://www.coralgables.com/attractions/giralda-plaza | https://www.instagram.com/giraldaplaza/</t>
        </is>
      </c>
      <c r="N38" s="11" t="inlineStr">
        <is>
          <t>authentic venue/experience photo, ≥800px wide, no generic stock</t>
        </is>
      </c>
      <c r="O38" s="12" t="inlineStr">
        <is>
          <t>High</t>
        </is>
      </c>
    </row>
    <row r="39" ht="34" customHeight="1">
      <c r="A39" s="13" t="inlineStr">
        <is>
          <t>6ce551ac-e782-5f2d-9078-0dc88fa4db72</t>
        </is>
      </c>
      <c r="B39" s="13" t="inlineStr">
        <is>
          <t>giralda-plaza</t>
        </is>
      </c>
      <c r="C39" s="13" t="inlineStr">
        <is>
          <t>The Pedestrian's Feast</t>
        </is>
      </c>
      <c r="D39" s="13" t="inlineStr">
        <is>
          <t>Giralda Plaza</t>
        </is>
      </c>
      <c r="E39" s="13" t="inlineStr">
        <is>
          <t>Venue Logo</t>
        </is>
      </c>
      <c r="F39" s="15" t="inlineStr">
        <is>
          <t>Website</t>
        </is>
      </c>
      <c r="G39" s="15" t="inlineStr">
        <is>
          <t>Instagram</t>
        </is>
      </c>
      <c r="H39" s="12" t="inlineStr">
        <is>
          <t>Needs Sourcing</t>
        </is>
      </c>
      <c r="I39" s="16" t="n">
        <v>2</v>
      </c>
      <c r="J39" s="16" t="n">
        <v>0</v>
      </c>
      <c r="K39" s="13" t="inlineStr">
        <is>
          <t>Official Website</t>
        </is>
      </c>
      <c r="L39" s="15" t="inlineStr">
        <is>
          <t>Open Source</t>
        </is>
      </c>
      <c r="M39" s="17" t="inlineStr">
        <is>
          <t>https://www.coralgables.com/attractions/giralda-plaza | https://www.instagram.com/giraldaplaza/</t>
        </is>
      </c>
      <c r="N39" s="17" t="inlineStr">
        <is>
          <t>square business logo/avatar for the circular profile image over the hero</t>
        </is>
      </c>
      <c r="O39" s="12" t="inlineStr">
        <is>
          <t>High</t>
        </is>
      </c>
    </row>
    <row r="40" ht="49" customHeight="1">
      <c r="A40" s="6" t="inlineStr">
        <is>
          <t>a3b596af-e36d-5eb9-a46b-c93873345ed0</t>
        </is>
      </c>
      <c r="B40" s="6" t="inlineStr">
        <is>
          <t>government-center-station</t>
        </is>
      </c>
      <c r="C40" s="6" t="inlineStr">
        <is>
          <t>The Crossroads</t>
        </is>
      </c>
      <c r="D40" s="6" t="inlineStr">
        <is>
          <t>Government Center Station</t>
        </is>
      </c>
      <c r="E40" s="6" t="inlineStr">
        <is>
          <t>Hero Image</t>
        </is>
      </c>
      <c r="F40" s="9" t="inlineStr">
        <is>
          <t>Website</t>
        </is>
      </c>
      <c r="G40" s="9" t="inlineStr">
        <is>
          <t>Instagram</t>
        </is>
      </c>
      <c r="H40" s="12" t="inlineStr">
        <is>
          <t>Needs Sourcing</t>
        </is>
      </c>
      <c r="I40" s="10" t="n">
        <v>3</v>
      </c>
      <c r="J40" s="10" t="n">
        <v>0</v>
      </c>
      <c r="K40" s="6" t="inlineStr">
        <is>
          <t>Official Website</t>
        </is>
      </c>
      <c r="L40" s="9" t="inlineStr">
        <is>
          <t>Open Source</t>
        </is>
      </c>
      <c r="M40" s="11" t="inlineStr">
        <is>
          <t>https://unsplash.com/s/photos/Government%20Center%20Station%20miami | https://www.instagram.com/miamidadetransit/ | https://www.miamidade.gov/transportation-publicworks/metrorail-stations.asp</t>
        </is>
      </c>
      <c r="N40" s="11" t="inlineStr">
        <is>
          <t>authentic venue/experience photo, ≥800px wide, no generic stock</t>
        </is>
      </c>
      <c r="O40" s="12" t="inlineStr">
        <is>
          <t>High</t>
        </is>
      </c>
    </row>
    <row r="41" ht="34" customHeight="1">
      <c r="A41" s="13" t="inlineStr">
        <is>
          <t>a3b596af-e36d-5eb9-a46b-c93873345ed0</t>
        </is>
      </c>
      <c r="B41" s="13" t="inlineStr">
        <is>
          <t>government-center-station</t>
        </is>
      </c>
      <c r="C41" s="13" t="inlineStr">
        <is>
          <t>The Crossroads</t>
        </is>
      </c>
      <c r="D41" s="13" t="inlineStr">
        <is>
          <t>Government Center Station</t>
        </is>
      </c>
      <c r="E41" s="13" t="inlineStr">
        <is>
          <t>Venue Logo</t>
        </is>
      </c>
      <c r="F41" s="15" t="inlineStr">
        <is>
          <t>Website</t>
        </is>
      </c>
      <c r="G41" s="15" t="inlineStr">
        <is>
          <t>Instagram</t>
        </is>
      </c>
      <c r="H41" s="12" t="inlineStr">
        <is>
          <t>Needs Sourcing</t>
        </is>
      </c>
      <c r="I41" s="16" t="n">
        <v>2</v>
      </c>
      <c r="J41" s="16" t="n">
        <v>0</v>
      </c>
      <c r="K41" s="13" t="inlineStr">
        <is>
          <t>Official Website</t>
        </is>
      </c>
      <c r="L41" s="15" t="inlineStr">
        <is>
          <t>Open Source</t>
        </is>
      </c>
      <c r="M41" s="17" t="inlineStr">
        <is>
          <t>https://www.instagram.com/miamidadetransit/ | https://www.miamidade.gov/transportation-publicworks/metrorail-stations.asp</t>
        </is>
      </c>
      <c r="N41" s="17" t="inlineStr">
        <is>
          <t>square business logo/avatar for the circular profile image over the hero</t>
        </is>
      </c>
      <c r="O41" s="12" t="inlineStr">
        <is>
          <t>High</t>
        </is>
      </c>
    </row>
    <row r="42" ht="34" customHeight="1">
      <c r="A42" s="6" t="inlineStr">
        <is>
          <t>8126cef6-7957-58f4-8dc1-c1cf747fcc8e</t>
        </is>
      </c>
      <c r="B42" s="6" t="inlineStr">
        <is>
          <t>imperial-moto-little-river</t>
        </is>
      </c>
      <c r="C42" s="6" t="inlineStr">
        <is>
          <t>Full Throttle Coffee</t>
        </is>
      </c>
      <c r="D42" s="6" t="inlineStr">
        <is>
          <t>Imperial Moto Cafe - Little River</t>
        </is>
      </c>
      <c r="E42" s="6" t="inlineStr">
        <is>
          <t>Hero Image</t>
        </is>
      </c>
      <c r="F42" s="9" t="inlineStr">
        <is>
          <t>Website</t>
        </is>
      </c>
      <c r="G42" s="9" t="inlineStr">
        <is>
          <t>Instagram</t>
        </is>
      </c>
      <c r="H42" s="12" t="inlineStr">
        <is>
          <t>Needs Sourcing</t>
        </is>
      </c>
      <c r="I42" s="10" t="n">
        <v>3</v>
      </c>
      <c r="J42" s="10" t="n">
        <v>0</v>
      </c>
      <c r="K42" s="6" t="inlineStr">
        <is>
          <t>Official Website</t>
        </is>
      </c>
      <c r="L42" s="9" t="inlineStr">
        <is>
          <t>Open Source</t>
        </is>
      </c>
      <c r="M42" s="11" t="inlineStr">
        <is>
          <t>https://unsplash.com/s/photos/Imperial%20Moto%20Cafe%20-%20Little%20River%20miami | https://www.imperialmoto.com/ | https://www.instagram.com/imperialmoto/</t>
        </is>
      </c>
      <c r="N42" s="11" t="inlineStr">
        <is>
          <t>authentic venue/experience photo, ≥800px wide, no generic stock</t>
        </is>
      </c>
      <c r="O42" s="12" t="inlineStr">
        <is>
          <t>High</t>
        </is>
      </c>
    </row>
    <row r="43" ht="19" customHeight="1">
      <c r="A43" s="13" t="inlineStr">
        <is>
          <t>8126cef6-7957-58f4-8dc1-c1cf747fcc8e</t>
        </is>
      </c>
      <c r="B43" s="13" t="inlineStr">
        <is>
          <t>imperial-moto-little-river</t>
        </is>
      </c>
      <c r="C43" s="13" t="inlineStr">
        <is>
          <t>Full Throttle Coffee</t>
        </is>
      </c>
      <c r="D43" s="13" t="inlineStr">
        <is>
          <t>Imperial Moto Cafe - Little River</t>
        </is>
      </c>
      <c r="E43" s="13" t="inlineStr">
        <is>
          <t>Venue Logo</t>
        </is>
      </c>
      <c r="F43" s="15" t="inlineStr">
        <is>
          <t>Website</t>
        </is>
      </c>
      <c r="G43" s="15" t="inlineStr">
        <is>
          <t>Instagram</t>
        </is>
      </c>
      <c r="H43" s="12" t="inlineStr">
        <is>
          <t>Needs Sourcing</t>
        </is>
      </c>
      <c r="I43" s="16" t="n">
        <v>2</v>
      </c>
      <c r="J43" s="16" t="n">
        <v>0</v>
      </c>
      <c r="K43" s="13" t="inlineStr">
        <is>
          <t>Official Website</t>
        </is>
      </c>
      <c r="L43" s="15" t="inlineStr">
        <is>
          <t>Open Source</t>
        </is>
      </c>
      <c r="M43" s="17" t="inlineStr">
        <is>
          <t>https://www.imperialmoto.com/ | https://www.instagram.com/imperialmoto/</t>
        </is>
      </c>
      <c r="N43" s="17" t="inlineStr">
        <is>
          <t>square business logo/avatar for the circular profile image over the hero</t>
        </is>
      </c>
      <c r="O43" s="12" t="inlineStr">
        <is>
          <t>High</t>
        </is>
      </c>
    </row>
    <row r="44" ht="34" customHeight="1">
      <c r="A44" s="6" t="inlineStr">
        <is>
          <t>26fad17b-865f-558e-a355-5c025c4ce02a</t>
        </is>
      </c>
      <c r="B44" s="6" t="inlineStr">
        <is>
          <t>ica-miami</t>
        </is>
      </c>
      <c r="C44" s="6" t="inlineStr">
        <is>
          <t>Free Art, Big Ideas</t>
        </is>
      </c>
      <c r="D44" s="6" t="inlineStr">
        <is>
          <t>Institute of Contemporary Art, Miami</t>
        </is>
      </c>
      <c r="E44" s="6" t="inlineStr">
        <is>
          <t>Hero Image</t>
        </is>
      </c>
      <c r="F44" s="9" t="inlineStr">
        <is>
          <t>Website</t>
        </is>
      </c>
      <c r="G44" s="9" t="inlineStr">
        <is>
          <t>Instagram</t>
        </is>
      </c>
      <c r="H44" s="12" t="inlineStr">
        <is>
          <t>Needs Sourcing</t>
        </is>
      </c>
      <c r="I44" s="10" t="n">
        <v>3</v>
      </c>
      <c r="J44" s="10" t="n">
        <v>0</v>
      </c>
      <c r="K44" s="6" t="inlineStr">
        <is>
          <t>Official Website</t>
        </is>
      </c>
      <c r="L44" s="9" t="inlineStr">
        <is>
          <t>Open Source</t>
        </is>
      </c>
      <c r="M44" s="11" t="inlineStr">
        <is>
          <t>https://icamiami.org/ | https://unsplash.com/s/photos/Institute%20of%20Contemporary%20Art%2C%20Miami%20miami | https://www.instagram.com/icamiami/</t>
        </is>
      </c>
      <c r="N44" s="11" t="inlineStr">
        <is>
          <t>authentic venue/experience photo, ≥800px wide, no generic stock</t>
        </is>
      </c>
      <c r="O44" s="12" t="inlineStr">
        <is>
          <t>High</t>
        </is>
      </c>
    </row>
    <row r="45" ht="19" customHeight="1">
      <c r="A45" s="13" t="inlineStr">
        <is>
          <t>26fad17b-865f-558e-a355-5c025c4ce02a</t>
        </is>
      </c>
      <c r="B45" s="13" t="inlineStr">
        <is>
          <t>ica-miami</t>
        </is>
      </c>
      <c r="C45" s="13" t="inlineStr">
        <is>
          <t>Free Art, Big Ideas</t>
        </is>
      </c>
      <c r="D45" s="13" t="inlineStr">
        <is>
          <t>Institute of Contemporary Art, Miami</t>
        </is>
      </c>
      <c r="E45" s="13" t="inlineStr">
        <is>
          <t>Venue Logo</t>
        </is>
      </c>
      <c r="F45" s="15" t="inlineStr">
        <is>
          <t>Website</t>
        </is>
      </c>
      <c r="G45" s="15" t="inlineStr">
        <is>
          <t>Instagram</t>
        </is>
      </c>
      <c r="H45" s="12" t="inlineStr">
        <is>
          <t>Needs Sourcing</t>
        </is>
      </c>
      <c r="I45" s="16" t="n">
        <v>2</v>
      </c>
      <c r="J45" s="16" t="n">
        <v>0</v>
      </c>
      <c r="K45" s="13" t="inlineStr">
        <is>
          <t>Official Website</t>
        </is>
      </c>
      <c r="L45" s="15" t="inlineStr">
        <is>
          <t>Open Source</t>
        </is>
      </c>
      <c r="M45" s="17" t="inlineStr">
        <is>
          <t>https://icamiami.org/ | https://www.instagram.com/icamiami/</t>
        </is>
      </c>
      <c r="N45" s="17" t="inlineStr">
        <is>
          <t>square business logo/avatar for the circular profile image over the hero</t>
        </is>
      </c>
      <c r="O45" s="12" t="inlineStr">
        <is>
          <t>High</t>
        </is>
      </c>
    </row>
    <row r="46" ht="34" customHeight="1">
      <c r="A46" s="6" t="inlineStr">
        <is>
          <t>307c71dc-ad8e-546a-89b3-7327c535d063</t>
        </is>
      </c>
      <c r="B46" s="6" t="inlineStr">
        <is>
          <t>joia-beach-watson-island</t>
        </is>
      </c>
      <c r="C46" s="6" t="inlineStr">
        <is>
          <t>Island Detour</t>
        </is>
      </c>
      <c r="D46" s="6" t="inlineStr">
        <is>
          <t>Joia Beach Restaurant and Beach Club</t>
        </is>
      </c>
      <c r="E46" s="6" t="inlineStr">
        <is>
          <t>Hero Image</t>
        </is>
      </c>
      <c r="F46" s="9" t="inlineStr">
        <is>
          <t>Website</t>
        </is>
      </c>
      <c r="G46" s="9" t="inlineStr">
        <is>
          <t>Instagram</t>
        </is>
      </c>
      <c r="H46" s="12" t="inlineStr">
        <is>
          <t>Needs Sourcing</t>
        </is>
      </c>
      <c r="I46" s="10" t="n">
        <v>3</v>
      </c>
      <c r="J46" s="10" t="n">
        <v>0</v>
      </c>
      <c r="K46" s="6" t="inlineStr">
        <is>
          <t>Official Website</t>
        </is>
      </c>
      <c r="L46" s="9" t="inlineStr">
        <is>
          <t>Open Source</t>
        </is>
      </c>
      <c r="M46" s="11" t="inlineStr">
        <is>
          <t>https://joiabeachmiami.com/ | https://unsplash.com/s/photos/Joia%20Beach%20Restaurant%20and%20Beach%20Club%20miami | https://www.instagram.com/joiabeach/</t>
        </is>
      </c>
      <c r="N46" s="11" t="inlineStr">
        <is>
          <t>authentic venue/experience photo, ≥800px wide, no generic stock</t>
        </is>
      </c>
      <c r="O46" s="12" t="inlineStr">
        <is>
          <t>High</t>
        </is>
      </c>
    </row>
    <row r="47" ht="19" customHeight="1">
      <c r="A47" s="13" t="inlineStr">
        <is>
          <t>307c71dc-ad8e-546a-89b3-7327c535d063</t>
        </is>
      </c>
      <c r="B47" s="13" t="inlineStr">
        <is>
          <t>joia-beach-watson-island</t>
        </is>
      </c>
      <c r="C47" s="13" t="inlineStr">
        <is>
          <t>Island Detour</t>
        </is>
      </c>
      <c r="D47" s="13" t="inlineStr">
        <is>
          <t>Joia Beach Restaurant and Beach Club</t>
        </is>
      </c>
      <c r="E47" s="13" t="inlineStr">
        <is>
          <t>Venue Logo</t>
        </is>
      </c>
      <c r="F47" s="15" t="inlineStr">
        <is>
          <t>Website</t>
        </is>
      </c>
      <c r="G47" s="15" t="inlineStr">
        <is>
          <t>Instagram</t>
        </is>
      </c>
      <c r="H47" s="12" t="inlineStr">
        <is>
          <t>Needs Sourcing</t>
        </is>
      </c>
      <c r="I47" s="16" t="n">
        <v>2</v>
      </c>
      <c r="J47" s="16" t="n">
        <v>0</v>
      </c>
      <c r="K47" s="13" t="inlineStr">
        <is>
          <t>Official Website</t>
        </is>
      </c>
      <c r="L47" s="15" t="inlineStr">
        <is>
          <t>Open Source</t>
        </is>
      </c>
      <c r="M47" s="17" t="inlineStr">
        <is>
          <t>https://joiabeachmiami.com/ | https://www.instagram.com/joiabeach/</t>
        </is>
      </c>
      <c r="N47" s="17" t="inlineStr">
        <is>
          <t>square business logo/avatar for the circular profile image over the hero</t>
        </is>
      </c>
      <c r="O47" s="12" t="inlineStr">
        <is>
          <t>High</t>
        </is>
      </c>
    </row>
    <row r="48" ht="34" customHeight="1">
      <c r="A48" s="6" t="inlineStr">
        <is>
          <t>208f2e94-7a65-5e42-b36d-4a2ea0992b46</t>
        </is>
      </c>
      <c r="B48" s="6" t="inlineStr">
        <is>
          <t>jungle-island</t>
        </is>
      </c>
      <c r="C48" s="6" t="inlineStr">
        <is>
          <t>The Wild Side of Watson Island</t>
        </is>
      </c>
      <c r="D48" s="6" t="inlineStr">
        <is>
          <t>Jungle Island</t>
        </is>
      </c>
      <c r="E48" s="6" t="inlineStr">
        <is>
          <t>Hero Image</t>
        </is>
      </c>
      <c r="F48" s="9" t="inlineStr">
        <is>
          <t>Website</t>
        </is>
      </c>
      <c r="G48" s="9" t="inlineStr">
        <is>
          <t>Instagram</t>
        </is>
      </c>
      <c r="H48" s="12" t="inlineStr">
        <is>
          <t>Needs Sourcing</t>
        </is>
      </c>
      <c r="I48" s="10" t="n">
        <v>3</v>
      </c>
      <c r="J48" s="10" t="n">
        <v>0</v>
      </c>
      <c r="K48" s="6" t="inlineStr">
        <is>
          <t>Official Website</t>
        </is>
      </c>
      <c r="L48" s="9" t="inlineStr">
        <is>
          <t>Open Source</t>
        </is>
      </c>
      <c r="M48" s="11" t="inlineStr">
        <is>
          <t>https://unsplash.com/s/photos/Jungle%20Island%20miami | https://www.instagram.com/jungleisland/ | https://www.jungleisland.com/</t>
        </is>
      </c>
      <c r="N48" s="11" t="inlineStr">
        <is>
          <t>authentic venue/experience photo, ≥800px wide, no generic stock</t>
        </is>
      </c>
      <c r="O48" s="12" t="inlineStr">
        <is>
          <t>High</t>
        </is>
      </c>
    </row>
    <row r="49" ht="19" customHeight="1">
      <c r="A49" s="13" t="inlineStr">
        <is>
          <t>208f2e94-7a65-5e42-b36d-4a2ea0992b46</t>
        </is>
      </c>
      <c r="B49" s="13" t="inlineStr">
        <is>
          <t>jungle-island</t>
        </is>
      </c>
      <c r="C49" s="13" t="inlineStr">
        <is>
          <t>The Wild Side of Watson Island</t>
        </is>
      </c>
      <c r="D49" s="13" t="inlineStr">
        <is>
          <t>Jungle Island</t>
        </is>
      </c>
      <c r="E49" s="13" t="inlineStr">
        <is>
          <t>Venue Logo</t>
        </is>
      </c>
      <c r="F49" s="15" t="inlineStr">
        <is>
          <t>Website</t>
        </is>
      </c>
      <c r="G49" s="15" t="inlineStr">
        <is>
          <t>Instagram</t>
        </is>
      </c>
      <c r="H49" s="12" t="inlineStr">
        <is>
          <t>Needs Sourcing</t>
        </is>
      </c>
      <c r="I49" s="16" t="n">
        <v>2</v>
      </c>
      <c r="J49" s="16" t="n">
        <v>0</v>
      </c>
      <c r="K49" s="13" t="inlineStr">
        <is>
          <t>Official Website</t>
        </is>
      </c>
      <c r="L49" s="15" t="inlineStr">
        <is>
          <t>Open Source</t>
        </is>
      </c>
      <c r="M49" s="17" t="inlineStr">
        <is>
          <t>https://www.instagram.com/jungleisland/ | https://www.jungleisland.com/</t>
        </is>
      </c>
      <c r="N49" s="17" t="inlineStr">
        <is>
          <t>square business logo/avatar for the circular profile image over the hero</t>
        </is>
      </c>
      <c r="O49" s="12" t="inlineStr">
        <is>
          <t>High</t>
        </is>
      </c>
    </row>
    <row r="50" ht="34" customHeight="1">
      <c r="A50" s="6" t="inlineStr">
        <is>
          <t>3a01d0e9-5bce-5fc4-88aa-8252bebe58a2</t>
        </is>
      </c>
      <c r="B50" s="6" t="inlineStr">
        <is>
          <t>jungle-plaza-design-district</t>
        </is>
      </c>
      <c r="C50" s="6" t="inlineStr">
        <is>
          <t>Through the Portal</t>
        </is>
      </c>
      <c r="D50" s="6" t="inlineStr">
        <is>
          <t>Jungle Plaza</t>
        </is>
      </c>
      <c r="E50" s="6" t="inlineStr">
        <is>
          <t>Hero Image</t>
        </is>
      </c>
      <c r="F50" s="9" t="inlineStr">
        <is>
          <t>Website</t>
        </is>
      </c>
      <c r="G50" s="9" t="inlineStr">
        <is>
          <t>Instagram</t>
        </is>
      </c>
      <c r="H50" s="12" t="inlineStr">
        <is>
          <t>Needs Sourcing</t>
        </is>
      </c>
      <c r="I50" s="10" t="n">
        <v>3</v>
      </c>
      <c r="J50" s="10" t="n">
        <v>0</v>
      </c>
      <c r="K50" s="6" t="inlineStr">
        <is>
          <t>Official Website</t>
        </is>
      </c>
      <c r="L50" s="9" t="inlineStr">
        <is>
          <t>Open Source</t>
        </is>
      </c>
      <c r="M50" s="11" t="inlineStr">
        <is>
          <t>https://unsplash.com/s/photos/Jungle%20Plaza%20miami | https://www.instagram.com/miamidesigndistrict/ | https://www.miamidesigndistrict.com/event-venue/742/jungle-plaza/</t>
        </is>
      </c>
      <c r="N50" s="11" t="inlineStr">
        <is>
          <t>authentic venue/experience photo, ≥800px wide, no generic stock</t>
        </is>
      </c>
      <c r="O50" s="12" t="inlineStr">
        <is>
          <t>High</t>
        </is>
      </c>
    </row>
    <row r="51" ht="34" customHeight="1">
      <c r="A51" s="13" t="inlineStr">
        <is>
          <t>3a01d0e9-5bce-5fc4-88aa-8252bebe58a2</t>
        </is>
      </c>
      <c r="B51" s="13" t="inlineStr">
        <is>
          <t>jungle-plaza-design-district</t>
        </is>
      </c>
      <c r="C51" s="13" t="inlineStr">
        <is>
          <t>Through the Portal</t>
        </is>
      </c>
      <c r="D51" s="13" t="inlineStr">
        <is>
          <t>Jungle Plaza</t>
        </is>
      </c>
      <c r="E51" s="13" t="inlineStr">
        <is>
          <t>Venue Logo</t>
        </is>
      </c>
      <c r="F51" s="15" t="inlineStr">
        <is>
          <t>Website</t>
        </is>
      </c>
      <c r="G51" s="15" t="inlineStr">
        <is>
          <t>Instagram</t>
        </is>
      </c>
      <c r="H51" s="12" t="inlineStr">
        <is>
          <t>Needs Sourcing</t>
        </is>
      </c>
      <c r="I51" s="16" t="n">
        <v>2</v>
      </c>
      <c r="J51" s="16" t="n">
        <v>0</v>
      </c>
      <c r="K51" s="13" t="inlineStr">
        <is>
          <t>Official Website</t>
        </is>
      </c>
      <c r="L51" s="15" t="inlineStr">
        <is>
          <t>Open Source</t>
        </is>
      </c>
      <c r="M51" s="17" t="inlineStr">
        <is>
          <t>https://www.instagram.com/miamidesigndistrict/ | https://www.miamidesigndistrict.com/event-venue/742/jungle-plaza/</t>
        </is>
      </c>
      <c r="N51" s="17" t="inlineStr">
        <is>
          <t>square business logo/avatar for the circular profile image over the hero</t>
        </is>
      </c>
      <c r="O51" s="12" t="inlineStr">
        <is>
          <t>High</t>
        </is>
      </c>
    </row>
    <row r="52" ht="34" customHeight="1">
      <c r="A52" s="6" t="inlineStr">
        <is>
          <t>192fe224-7d8b-5c25-a708-4cfb241f0272</t>
        </is>
      </c>
      <c r="B52" s="6" t="inlineStr">
        <is>
          <t>kaseya-center-plaza</t>
        </is>
      </c>
      <c r="C52" s="6" t="inlineStr">
        <is>
          <t>Home Court</t>
        </is>
      </c>
      <c r="D52" s="6" t="inlineStr">
        <is>
          <t>Kaseya Center</t>
        </is>
      </c>
      <c r="E52" s="6" t="inlineStr">
        <is>
          <t>Hero Image</t>
        </is>
      </c>
      <c r="F52" s="9" t="inlineStr">
        <is>
          <t>Website</t>
        </is>
      </c>
      <c r="G52" s="9" t="inlineStr">
        <is>
          <t>Instagram</t>
        </is>
      </c>
      <c r="H52" s="12" t="inlineStr">
        <is>
          <t>Needs Sourcing</t>
        </is>
      </c>
      <c r="I52" s="10" t="n">
        <v>3</v>
      </c>
      <c r="J52" s="10" t="n">
        <v>0</v>
      </c>
      <c r="K52" s="6" t="inlineStr">
        <is>
          <t>Official Website</t>
        </is>
      </c>
      <c r="L52" s="9" t="inlineStr">
        <is>
          <t>Open Source</t>
        </is>
      </c>
      <c r="M52" s="11" t="inlineStr">
        <is>
          <t>https://unsplash.com/s/photos/Kaseya%20Center%20miami | https://www.instagram.com/kaseyacenter/ | https://www.kaseyacenter.com/</t>
        </is>
      </c>
      <c r="N52" s="11" t="inlineStr">
        <is>
          <t>authentic venue/experience photo, ≥800px wide, no generic stock</t>
        </is>
      </c>
      <c r="O52" s="12" t="inlineStr">
        <is>
          <t>High</t>
        </is>
      </c>
    </row>
    <row r="53" ht="19" customHeight="1">
      <c r="A53" s="13" t="inlineStr">
        <is>
          <t>192fe224-7d8b-5c25-a708-4cfb241f0272</t>
        </is>
      </c>
      <c r="B53" s="13" t="inlineStr">
        <is>
          <t>kaseya-center-plaza</t>
        </is>
      </c>
      <c r="C53" s="13" t="inlineStr">
        <is>
          <t>Home Court</t>
        </is>
      </c>
      <c r="D53" s="13" t="inlineStr">
        <is>
          <t>Kaseya Center</t>
        </is>
      </c>
      <c r="E53" s="13" t="inlineStr">
        <is>
          <t>Venue Logo</t>
        </is>
      </c>
      <c r="F53" s="15" t="inlineStr">
        <is>
          <t>Website</t>
        </is>
      </c>
      <c r="G53" s="15" t="inlineStr">
        <is>
          <t>Instagram</t>
        </is>
      </c>
      <c r="H53" s="12" t="inlineStr">
        <is>
          <t>Needs Sourcing</t>
        </is>
      </c>
      <c r="I53" s="16" t="n">
        <v>2</v>
      </c>
      <c r="J53" s="16" t="n">
        <v>0</v>
      </c>
      <c r="K53" s="13" t="inlineStr">
        <is>
          <t>Official Website</t>
        </is>
      </c>
      <c r="L53" s="15" t="inlineStr">
        <is>
          <t>Open Source</t>
        </is>
      </c>
      <c r="M53" s="17" t="inlineStr">
        <is>
          <t>https://www.instagram.com/kaseyacenter/ | https://www.kaseyacenter.com/</t>
        </is>
      </c>
      <c r="N53" s="17" t="inlineStr">
        <is>
          <t>square business logo/avatar for the circular profile image over the hero</t>
        </is>
      </c>
      <c r="O53" s="12" t="inlineStr">
        <is>
          <t>High</t>
        </is>
      </c>
    </row>
    <row r="54" ht="34" customHeight="1">
      <c r="A54" s="6" t="inlineStr">
        <is>
          <t>fb79ddde-85fd-521c-a354-0dd4a144a96f</t>
        </is>
      </c>
      <c r="B54" s="6" t="inlineStr">
        <is>
          <t>komodo-brickell</t>
        </is>
      </c>
      <c r="C54" s="6" t="inlineStr">
        <is>
          <t>Dragon Hunting in Brickell</t>
        </is>
      </c>
      <c r="D54" s="6" t="inlineStr">
        <is>
          <t>Komodo Miami</t>
        </is>
      </c>
      <c r="E54" s="6" t="inlineStr">
        <is>
          <t>Hero Image</t>
        </is>
      </c>
      <c r="F54" s="9" t="inlineStr">
        <is>
          <t>Website</t>
        </is>
      </c>
      <c r="G54" s="9" t="inlineStr">
        <is>
          <t>Instagram</t>
        </is>
      </c>
      <c r="H54" s="12" t="inlineStr">
        <is>
          <t>Needs Sourcing</t>
        </is>
      </c>
      <c r="I54" s="10" t="n">
        <v>3</v>
      </c>
      <c r="J54" s="10" t="n">
        <v>0</v>
      </c>
      <c r="K54" s="6" t="inlineStr">
        <is>
          <t>Official Website</t>
        </is>
      </c>
      <c r="L54" s="9" t="inlineStr">
        <is>
          <t>Open Source</t>
        </is>
      </c>
      <c r="M54" s="11" t="inlineStr">
        <is>
          <t>https://komodomiami.com/ | https://unsplash.com/s/photos/Komodo%20Miami%20miami | https://www.instagram.com/komodomiami/</t>
        </is>
      </c>
      <c r="N54" s="11" t="inlineStr">
        <is>
          <t>authentic venue/experience photo, ≥800px wide, no generic stock</t>
        </is>
      </c>
      <c r="O54" s="12" t="inlineStr">
        <is>
          <t>High</t>
        </is>
      </c>
    </row>
    <row r="55" ht="19" customHeight="1">
      <c r="A55" s="13" t="inlineStr">
        <is>
          <t>fb79ddde-85fd-521c-a354-0dd4a144a96f</t>
        </is>
      </c>
      <c r="B55" s="13" t="inlineStr">
        <is>
          <t>komodo-brickell</t>
        </is>
      </c>
      <c r="C55" s="13" t="inlineStr">
        <is>
          <t>Dragon Hunting in Brickell</t>
        </is>
      </c>
      <c r="D55" s="13" t="inlineStr">
        <is>
          <t>Komodo Miami</t>
        </is>
      </c>
      <c r="E55" s="13" t="inlineStr">
        <is>
          <t>Venue Logo</t>
        </is>
      </c>
      <c r="F55" s="15" t="inlineStr">
        <is>
          <t>Website</t>
        </is>
      </c>
      <c r="G55" s="15" t="inlineStr">
        <is>
          <t>Instagram</t>
        </is>
      </c>
      <c r="H55" s="12" t="inlineStr">
        <is>
          <t>Needs Sourcing</t>
        </is>
      </c>
      <c r="I55" s="16" t="n">
        <v>2</v>
      </c>
      <c r="J55" s="16" t="n">
        <v>0</v>
      </c>
      <c r="K55" s="13" t="inlineStr">
        <is>
          <t>Official Website</t>
        </is>
      </c>
      <c r="L55" s="15" t="inlineStr">
        <is>
          <t>Open Source</t>
        </is>
      </c>
      <c r="M55" s="17" t="inlineStr">
        <is>
          <t>https://komodomiami.com/ | https://www.instagram.com/komodomiami/</t>
        </is>
      </c>
      <c r="N55" s="17" t="inlineStr">
        <is>
          <t>square business logo/avatar for the circular profile image over the hero</t>
        </is>
      </c>
      <c r="O55" s="12" t="inlineStr">
        <is>
          <t>High</t>
        </is>
      </c>
    </row>
    <row r="56" ht="34" customHeight="1">
      <c r="A56" s="6" t="inlineStr">
        <is>
          <t>e80da8a5-6380-505e-9246-d6fa2f2af0a4</t>
        </is>
      </c>
      <c r="B56" s="6" t="inlineStr">
        <is>
          <t>lagniappe-house-midtown</t>
        </is>
      </c>
      <c r="C56" s="6" t="inlineStr">
        <is>
          <t>A Little Something Extra</t>
        </is>
      </c>
      <c r="D56" s="6" t="inlineStr">
        <is>
          <t>Lagniappe</t>
        </is>
      </c>
      <c r="E56" s="6" t="inlineStr">
        <is>
          <t>Hero Image</t>
        </is>
      </c>
      <c r="F56" s="9" t="inlineStr">
        <is>
          <t>Website</t>
        </is>
      </c>
      <c r="G56" s="9" t="inlineStr">
        <is>
          <t>Instagram</t>
        </is>
      </c>
      <c r="H56" s="12" t="inlineStr">
        <is>
          <t>Needs Sourcing</t>
        </is>
      </c>
      <c r="I56" s="10" t="n">
        <v>3</v>
      </c>
      <c r="J56" s="10" t="n">
        <v>0</v>
      </c>
      <c r="K56" s="6" t="inlineStr">
        <is>
          <t>Official Website</t>
        </is>
      </c>
      <c r="L56" s="9" t="inlineStr">
        <is>
          <t>Open Source</t>
        </is>
      </c>
      <c r="M56" s="11" t="inlineStr">
        <is>
          <t>http://www.lagniappehouse.com/ | https://unsplash.com/s/photos/Lagniappe%20miami | https://www.instagram.com/lagniappehouse/</t>
        </is>
      </c>
      <c r="N56" s="11" t="inlineStr">
        <is>
          <t>authentic venue/experience photo, ≥800px wide, no generic stock</t>
        </is>
      </c>
      <c r="O56" s="12" t="inlineStr">
        <is>
          <t>High</t>
        </is>
      </c>
    </row>
    <row r="57" ht="19" customHeight="1">
      <c r="A57" s="13" t="inlineStr">
        <is>
          <t>e80da8a5-6380-505e-9246-d6fa2f2af0a4</t>
        </is>
      </c>
      <c r="B57" s="13" t="inlineStr">
        <is>
          <t>lagniappe-house-midtown</t>
        </is>
      </c>
      <c r="C57" s="13" t="inlineStr">
        <is>
          <t>A Little Something Extra</t>
        </is>
      </c>
      <c r="D57" s="13" t="inlineStr">
        <is>
          <t>Lagniappe</t>
        </is>
      </c>
      <c r="E57" s="13" t="inlineStr">
        <is>
          <t>Venue Logo</t>
        </is>
      </c>
      <c r="F57" s="15" t="inlineStr">
        <is>
          <t>Website</t>
        </is>
      </c>
      <c r="G57" s="15" t="inlineStr">
        <is>
          <t>Instagram</t>
        </is>
      </c>
      <c r="H57" s="12" t="inlineStr">
        <is>
          <t>Needs Sourcing</t>
        </is>
      </c>
      <c r="I57" s="16" t="n">
        <v>2</v>
      </c>
      <c r="J57" s="16" t="n">
        <v>0</v>
      </c>
      <c r="K57" s="13" t="inlineStr">
        <is>
          <t>Official Website</t>
        </is>
      </c>
      <c r="L57" s="15" t="inlineStr">
        <is>
          <t>Open Source</t>
        </is>
      </c>
      <c r="M57" s="17" t="inlineStr">
        <is>
          <t>http://www.lagniappehouse.com/ | https://www.instagram.com/lagniappehouse/</t>
        </is>
      </c>
      <c r="N57" s="17" t="inlineStr">
        <is>
          <t>square business logo/avatar for the circular profile image over the hero</t>
        </is>
      </c>
      <c r="O57" s="12" t="inlineStr">
        <is>
          <t>High</t>
        </is>
      </c>
    </row>
    <row r="58" ht="34" customHeight="1">
      <c r="A58" s="6" t="inlineStr">
        <is>
          <t>cc824584-6599-556e-a42d-2fb4328d3ec7</t>
        </is>
      </c>
      <c r="B58" s="6" t="inlineStr">
        <is>
          <t>lost-boy-dry-goods</t>
        </is>
      </c>
      <c r="C58" s="6" t="inlineStr">
        <is>
          <t>Get Lost Downtown</t>
        </is>
      </c>
      <c r="D58" s="6" t="inlineStr">
        <is>
          <t>Lost Boy Dry Goods</t>
        </is>
      </c>
      <c r="E58" s="6" t="inlineStr">
        <is>
          <t>Hero Image</t>
        </is>
      </c>
      <c r="F58" s="9" t="inlineStr">
        <is>
          <t>Website</t>
        </is>
      </c>
      <c r="G58" s="9" t="inlineStr">
        <is>
          <t>Instagram</t>
        </is>
      </c>
      <c r="H58" s="12" t="inlineStr">
        <is>
          <t>Needs Sourcing</t>
        </is>
      </c>
      <c r="I58" s="10" t="n">
        <v>3</v>
      </c>
      <c r="J58" s="10" t="n">
        <v>0</v>
      </c>
      <c r="K58" s="6" t="inlineStr">
        <is>
          <t>Official Website</t>
        </is>
      </c>
      <c r="L58" s="9" t="inlineStr">
        <is>
          <t>Open Source</t>
        </is>
      </c>
      <c r="M58" s="11" t="inlineStr">
        <is>
          <t>https://unsplash.com/s/photos/Lost%20Boy%20Dry%20Goods%20miami | https://www.instagram.com/lostboydrygoods/ | https://www.lostboydrygoods.com/</t>
        </is>
      </c>
      <c r="N58" s="11" t="inlineStr">
        <is>
          <t>authentic venue/experience photo, ≥800px wide, no generic stock</t>
        </is>
      </c>
      <c r="O58" s="12" t="inlineStr">
        <is>
          <t>High</t>
        </is>
      </c>
    </row>
    <row r="59" ht="19" customHeight="1">
      <c r="A59" s="13" t="inlineStr">
        <is>
          <t>cc824584-6599-556e-a42d-2fb4328d3ec7</t>
        </is>
      </c>
      <c r="B59" s="13" t="inlineStr">
        <is>
          <t>lost-boy-dry-goods</t>
        </is>
      </c>
      <c r="C59" s="13" t="inlineStr">
        <is>
          <t>Get Lost Downtown</t>
        </is>
      </c>
      <c r="D59" s="13" t="inlineStr">
        <is>
          <t>Lost Boy Dry Goods</t>
        </is>
      </c>
      <c r="E59" s="13" t="inlineStr">
        <is>
          <t>Venue Logo</t>
        </is>
      </c>
      <c r="F59" s="15" t="inlineStr">
        <is>
          <t>Website</t>
        </is>
      </c>
      <c r="G59" s="15" t="inlineStr">
        <is>
          <t>Instagram</t>
        </is>
      </c>
      <c r="H59" s="12" t="inlineStr">
        <is>
          <t>Needs Sourcing</t>
        </is>
      </c>
      <c r="I59" s="16" t="n">
        <v>2</v>
      </c>
      <c r="J59" s="16" t="n">
        <v>0</v>
      </c>
      <c r="K59" s="13" t="inlineStr">
        <is>
          <t>Official Website</t>
        </is>
      </c>
      <c r="L59" s="15" t="inlineStr">
        <is>
          <t>Open Source</t>
        </is>
      </c>
      <c r="M59" s="17" t="inlineStr">
        <is>
          <t>https://www.instagram.com/lostboydrygoods/ | https://www.lostboydrygoods.com/</t>
        </is>
      </c>
      <c r="N59" s="17" t="inlineStr">
        <is>
          <t>square business logo/avatar for the circular profile image over the hero</t>
        </is>
      </c>
      <c r="O59" s="12" t="inlineStr">
        <is>
          <t>High</t>
        </is>
      </c>
    </row>
    <row r="60" ht="49" customHeight="1">
      <c r="A60" s="6" t="inlineStr">
        <is>
          <t>3f5adf54-783c-5f9d-b1a5-0816fbea53ef</t>
        </is>
      </c>
      <c r="B60" s="6" t="inlineStr">
        <is>
          <t>lummus-park-south-beach</t>
        </is>
      </c>
      <c r="C60" s="6" t="inlineStr">
        <is>
          <t>Postcard Row</t>
        </is>
      </c>
      <c r="D60" s="6" t="inlineStr">
        <is>
          <t>Lummus Park</t>
        </is>
      </c>
      <c r="E60" s="6" t="inlineStr">
        <is>
          <t>Hero Image</t>
        </is>
      </c>
      <c r="F60" s="9" t="inlineStr">
        <is>
          <t>Website</t>
        </is>
      </c>
      <c r="G60" s="9" t="inlineStr">
        <is>
          <t>Instagram</t>
        </is>
      </c>
      <c r="H60" s="12" t="inlineStr">
        <is>
          <t>Needs Sourcing</t>
        </is>
      </c>
      <c r="I60" s="10" t="n">
        <v>3</v>
      </c>
      <c r="J60" s="10" t="n">
        <v>0</v>
      </c>
      <c r="K60" s="6" t="inlineStr">
        <is>
          <t>Official Website</t>
        </is>
      </c>
      <c r="L60" s="9" t="inlineStr">
        <is>
          <t>Open Source</t>
        </is>
      </c>
      <c r="M60" s="11" t="inlineStr">
        <is>
          <t>https://unsplash.com/s/photos/Lummus%20Park%20miami | https://www.instagram.com/cityofmiamibeach/ | https://www.miamibeachfl.gov/city-hall/parks-and-recreation/parks-facilities-directory/lummus-park/</t>
        </is>
      </c>
      <c r="N60" s="11" t="inlineStr">
        <is>
          <t>authentic venue/experience photo, ≥800px wide, no generic stock</t>
        </is>
      </c>
      <c r="O60" s="12" t="inlineStr">
        <is>
          <t>High</t>
        </is>
      </c>
    </row>
    <row r="61" ht="34" customHeight="1">
      <c r="A61" s="13" t="inlineStr">
        <is>
          <t>3f5adf54-783c-5f9d-b1a5-0816fbea53ef</t>
        </is>
      </c>
      <c r="B61" s="13" t="inlineStr">
        <is>
          <t>lummus-park-south-beach</t>
        </is>
      </c>
      <c r="C61" s="13" t="inlineStr">
        <is>
          <t>Postcard Row</t>
        </is>
      </c>
      <c r="D61" s="13" t="inlineStr">
        <is>
          <t>Lummus Park</t>
        </is>
      </c>
      <c r="E61" s="13" t="inlineStr">
        <is>
          <t>Venue Logo</t>
        </is>
      </c>
      <c r="F61" s="15" t="inlineStr">
        <is>
          <t>Website</t>
        </is>
      </c>
      <c r="G61" s="15" t="inlineStr">
        <is>
          <t>Instagram</t>
        </is>
      </c>
      <c r="H61" s="12" t="inlineStr">
        <is>
          <t>Needs Sourcing</t>
        </is>
      </c>
      <c r="I61" s="16" t="n">
        <v>2</v>
      </c>
      <c r="J61" s="16" t="n">
        <v>0</v>
      </c>
      <c r="K61" s="13" t="inlineStr">
        <is>
          <t>Official Website</t>
        </is>
      </c>
      <c r="L61" s="15" t="inlineStr">
        <is>
          <t>Open Source</t>
        </is>
      </c>
      <c r="M61" s="17" t="inlineStr">
        <is>
          <t>https://www.instagram.com/cityofmiamibeach/ | https://www.miamibeachfl.gov/city-hall/parks-and-recreation/parks-facilities-directory/lummus-park/</t>
        </is>
      </c>
      <c r="N61" s="17" t="inlineStr">
        <is>
          <t>square business logo/avatar for the circular profile image over the hero</t>
        </is>
      </c>
      <c r="O61" s="12" t="inlineStr">
        <is>
          <t>High</t>
        </is>
      </c>
    </row>
    <row r="62" ht="34" customHeight="1">
      <c r="A62" s="6" t="inlineStr">
        <is>
          <t>5efb7510-e755-5182-9b2d-3dd1de150abc</t>
        </is>
      </c>
      <c r="B62" s="6" t="inlineStr">
        <is>
          <t>macs-club-deuce</t>
        </is>
      </c>
      <c r="C62" s="6" t="inlineStr">
        <is>
          <t>The Hundred-Year Dive</t>
        </is>
      </c>
      <c r="D62" s="6" t="inlineStr">
        <is>
          <t>Mac's Club Deuce</t>
        </is>
      </c>
      <c r="E62" s="6" t="inlineStr">
        <is>
          <t>Hero Image</t>
        </is>
      </c>
      <c r="F62" s="9" t="inlineStr">
        <is>
          <t>Website</t>
        </is>
      </c>
      <c r="G62" s="9" t="inlineStr">
        <is>
          <t>Instagram</t>
        </is>
      </c>
      <c r="H62" s="12" t="inlineStr">
        <is>
          <t>Needs Sourcing</t>
        </is>
      </c>
      <c r="I62" s="10" t="n">
        <v>3</v>
      </c>
      <c r="J62" s="10" t="n">
        <v>0</v>
      </c>
      <c r="K62" s="6" t="inlineStr">
        <is>
          <t>Official Website</t>
        </is>
      </c>
      <c r="L62" s="9" t="inlineStr">
        <is>
          <t>Open Source</t>
        </is>
      </c>
      <c r="M62" s="11" t="inlineStr">
        <is>
          <t>https://unsplash.com/s/photos/Mac's%20Club%20Deuce%20miami | https://www.instagram.com/macsclubdeuce/ | https://www.macsclubdeuce.com/</t>
        </is>
      </c>
      <c r="N62" s="11" t="inlineStr">
        <is>
          <t>authentic venue/experience photo, ≥800px wide, no generic stock</t>
        </is>
      </c>
      <c r="O62" s="12" t="inlineStr">
        <is>
          <t>High</t>
        </is>
      </c>
    </row>
    <row r="63" ht="19" customHeight="1">
      <c r="A63" s="13" t="inlineStr">
        <is>
          <t>5efb7510-e755-5182-9b2d-3dd1de150abc</t>
        </is>
      </c>
      <c r="B63" s="13" t="inlineStr">
        <is>
          <t>macs-club-deuce</t>
        </is>
      </c>
      <c r="C63" s="13" t="inlineStr">
        <is>
          <t>The Hundred-Year Dive</t>
        </is>
      </c>
      <c r="D63" s="13" t="inlineStr">
        <is>
          <t>Mac's Club Deuce</t>
        </is>
      </c>
      <c r="E63" s="13" t="inlineStr">
        <is>
          <t>Venue Logo</t>
        </is>
      </c>
      <c r="F63" s="15" t="inlineStr">
        <is>
          <t>Website</t>
        </is>
      </c>
      <c r="G63" s="15" t="inlineStr">
        <is>
          <t>Instagram</t>
        </is>
      </c>
      <c r="H63" s="12" t="inlineStr">
        <is>
          <t>Needs Sourcing</t>
        </is>
      </c>
      <c r="I63" s="16" t="n">
        <v>2</v>
      </c>
      <c r="J63" s="16" t="n">
        <v>0</v>
      </c>
      <c r="K63" s="13" t="inlineStr">
        <is>
          <t>Official Website</t>
        </is>
      </c>
      <c r="L63" s="15" t="inlineStr">
        <is>
          <t>Open Source</t>
        </is>
      </c>
      <c r="M63" s="17" t="inlineStr">
        <is>
          <t>https://www.instagram.com/macsclubdeuce/ | https://www.macsclubdeuce.com/</t>
        </is>
      </c>
      <c r="N63" s="17" t="inlineStr">
        <is>
          <t>square business logo/avatar for the circular profile image over the hero</t>
        </is>
      </c>
      <c r="O63" s="12" t="inlineStr">
        <is>
          <t>High</t>
        </is>
      </c>
    </row>
    <row r="64" ht="49" customHeight="1">
      <c r="A64" s="6" t="inlineStr">
        <is>
          <t>3479422e-08ef-5673-83d2-557027a01877</t>
        </is>
      </c>
      <c r="B64" s="6" t="inlineStr">
        <is>
          <t>maurice-ferre-park</t>
        </is>
      </c>
      <c r="C64" s="6" t="inlineStr">
        <is>
          <t>The Museum's Front Yard</t>
        </is>
      </c>
      <c r="D64" s="6" t="inlineStr">
        <is>
          <t>Maurice A. Ferré Park</t>
        </is>
      </c>
      <c r="E64" s="6" t="inlineStr">
        <is>
          <t>Hero Image</t>
        </is>
      </c>
      <c r="F64" s="9" t="inlineStr">
        <is>
          <t>Website</t>
        </is>
      </c>
      <c r="G64" s="9" t="inlineStr">
        <is>
          <t>Instagram</t>
        </is>
      </c>
      <c r="H64" s="12" t="inlineStr">
        <is>
          <t>Needs Sourcing</t>
        </is>
      </c>
      <c r="I64" s="10" t="n">
        <v>3</v>
      </c>
      <c r="J64" s="10" t="n">
        <v>0</v>
      </c>
      <c r="K64" s="6" t="inlineStr">
        <is>
          <t>Official Website</t>
        </is>
      </c>
      <c r="L64" s="9" t="inlineStr">
        <is>
          <t>Open Source</t>
        </is>
      </c>
      <c r="M64" s="11" t="inlineStr">
        <is>
          <t>https://unsplash.com/s/photos/Maurice%20A.%20Ferr%C3%A9%20Park%20miami | https://www.instagram.com/miamiparks/ | https://www.miami.gov/Parks-Public-Places/Parks-Directory/Maurice-A.-Ferre-Park</t>
        </is>
      </c>
      <c r="N64" s="11" t="inlineStr">
        <is>
          <t>authentic venue/experience photo, ≥800px wide, no generic stock</t>
        </is>
      </c>
      <c r="O64" s="12" t="inlineStr">
        <is>
          <t>High</t>
        </is>
      </c>
    </row>
    <row r="65" ht="34" customHeight="1">
      <c r="A65" s="13" t="inlineStr">
        <is>
          <t>3479422e-08ef-5673-83d2-557027a01877</t>
        </is>
      </c>
      <c r="B65" s="13" t="inlineStr">
        <is>
          <t>maurice-ferre-park</t>
        </is>
      </c>
      <c r="C65" s="13" t="inlineStr">
        <is>
          <t>The Museum's Front Yard</t>
        </is>
      </c>
      <c r="D65" s="13" t="inlineStr">
        <is>
          <t>Maurice A. Ferré Park</t>
        </is>
      </c>
      <c r="E65" s="13" t="inlineStr">
        <is>
          <t>Venue Logo</t>
        </is>
      </c>
      <c r="F65" s="15" t="inlineStr">
        <is>
          <t>Website</t>
        </is>
      </c>
      <c r="G65" s="15" t="inlineStr">
        <is>
          <t>Instagram</t>
        </is>
      </c>
      <c r="H65" s="12" t="inlineStr">
        <is>
          <t>Needs Sourcing</t>
        </is>
      </c>
      <c r="I65" s="16" t="n">
        <v>2</v>
      </c>
      <c r="J65" s="16" t="n">
        <v>0</v>
      </c>
      <c r="K65" s="13" t="inlineStr">
        <is>
          <t>Official Website</t>
        </is>
      </c>
      <c r="L65" s="15" t="inlineStr">
        <is>
          <t>Open Source</t>
        </is>
      </c>
      <c r="M65" s="17" t="inlineStr">
        <is>
          <t>https://www.instagram.com/miamiparks/ | https://www.miami.gov/Parks-Public-Places/Parks-Directory/Maurice-A.-Ferre-Park</t>
        </is>
      </c>
      <c r="N65" s="17" t="inlineStr">
        <is>
          <t>square business logo/avatar for the circular profile image over the hero</t>
        </is>
      </c>
      <c r="O65" s="12" t="inlineStr">
        <is>
          <t>High</t>
        </is>
      </c>
    </row>
    <row r="66" ht="34" customHeight="1">
      <c r="A66" s="6" t="inlineStr">
        <is>
          <t>aecdaf4a-c974-5246-86d4-0bb90b1de150</t>
        </is>
      </c>
      <c r="B66" s="6" t="inlineStr">
        <is>
          <t>miam-cafe-wynwood</t>
        </is>
      </c>
      <c r="C66" s="6" t="inlineStr">
        <is>
          <t>Say 'Miam'</t>
        </is>
      </c>
      <c r="D66" s="6" t="inlineStr">
        <is>
          <t>Miam Café - Wynwood</t>
        </is>
      </c>
      <c r="E66" s="6" t="inlineStr">
        <is>
          <t>Hero Image</t>
        </is>
      </c>
      <c r="F66" s="9" t="inlineStr">
        <is>
          <t>Website</t>
        </is>
      </c>
      <c r="G66" s="9" t="inlineStr">
        <is>
          <t>Instagram</t>
        </is>
      </c>
      <c r="H66" s="12" t="inlineStr">
        <is>
          <t>Needs Sourcing</t>
        </is>
      </c>
      <c r="I66" s="10" t="n">
        <v>3</v>
      </c>
      <c r="J66" s="10" t="n">
        <v>0</v>
      </c>
      <c r="K66" s="6" t="inlineStr">
        <is>
          <t>Official Website</t>
        </is>
      </c>
      <c r="L66" s="9" t="inlineStr">
        <is>
          <t>Open Source</t>
        </is>
      </c>
      <c r="M66" s="11" t="inlineStr">
        <is>
          <t>https://unsplash.com/s/photos/Miam%20Caf%C3%A9%20-%20Wynwood%20miami | https://www.instagram.com/miam.cafe/ | https://www.miamcafe.com/</t>
        </is>
      </c>
      <c r="N66" s="11" t="inlineStr">
        <is>
          <t>authentic venue/experience photo, ≥800px wide, no generic stock</t>
        </is>
      </c>
      <c r="O66" s="12" t="inlineStr">
        <is>
          <t>High</t>
        </is>
      </c>
    </row>
    <row r="67" ht="19" customHeight="1">
      <c r="A67" s="13" t="inlineStr">
        <is>
          <t>aecdaf4a-c974-5246-86d4-0bb90b1de150</t>
        </is>
      </c>
      <c r="B67" s="13" t="inlineStr">
        <is>
          <t>miam-cafe-wynwood</t>
        </is>
      </c>
      <c r="C67" s="13" t="inlineStr">
        <is>
          <t>Say 'Miam'</t>
        </is>
      </c>
      <c r="D67" s="13" t="inlineStr">
        <is>
          <t>Miam Café - Wynwood</t>
        </is>
      </c>
      <c r="E67" s="13" t="inlineStr">
        <is>
          <t>Venue Logo</t>
        </is>
      </c>
      <c r="F67" s="15" t="inlineStr">
        <is>
          <t>Website</t>
        </is>
      </c>
      <c r="G67" s="15" t="inlineStr">
        <is>
          <t>Instagram</t>
        </is>
      </c>
      <c r="H67" s="12" t="inlineStr">
        <is>
          <t>Needs Sourcing</t>
        </is>
      </c>
      <c r="I67" s="16" t="n">
        <v>2</v>
      </c>
      <c r="J67" s="16" t="n">
        <v>0</v>
      </c>
      <c r="K67" s="13" t="inlineStr">
        <is>
          <t>Official Website</t>
        </is>
      </c>
      <c r="L67" s="15" t="inlineStr">
        <is>
          <t>Open Source</t>
        </is>
      </c>
      <c r="M67" s="17" t="inlineStr">
        <is>
          <t>https://www.instagram.com/miam.cafe/ | https://www.miamcafe.com/</t>
        </is>
      </c>
      <c r="N67" s="17" t="inlineStr">
        <is>
          <t>square business logo/avatar for the circular profile image over the hero</t>
        </is>
      </c>
      <c r="O67" s="12" t="inlineStr">
        <is>
          <t>High</t>
        </is>
      </c>
    </row>
    <row r="68" ht="34" customHeight="1">
      <c r="A68" s="6" t="inlineStr">
        <is>
          <t>65f023cb-5822-5cf0-952e-70d0f0be9d0a</t>
        </is>
      </c>
      <c r="B68" s="6" t="inlineStr">
        <is>
          <t>miami-circle-brickell</t>
        </is>
      </c>
      <c r="C68" s="6" t="inlineStr">
        <is>
          <t>The 2,000-Year-Old Circle</t>
        </is>
      </c>
      <c r="D68" s="6" t="inlineStr">
        <is>
          <t>Miami Circle Park</t>
        </is>
      </c>
      <c r="E68" s="6" t="inlineStr">
        <is>
          <t>Hero Image</t>
        </is>
      </c>
      <c r="F68" s="9" t="inlineStr">
        <is>
          <t>Website</t>
        </is>
      </c>
      <c r="G68" s="6" t="n"/>
      <c r="H68" s="12" t="inlineStr">
        <is>
          <t>Needs Sourcing</t>
        </is>
      </c>
      <c r="I68" s="10" t="n">
        <v>2</v>
      </c>
      <c r="J68" s="10" t="n">
        <v>0</v>
      </c>
      <c r="K68" s="6" t="inlineStr">
        <is>
          <t>Official Website</t>
        </is>
      </c>
      <c r="L68" s="9" t="inlineStr">
        <is>
          <t>Open Source</t>
        </is>
      </c>
      <c r="M68" s="11" t="inlineStr">
        <is>
          <t>https://dos.fl.gov/historical/archaeology/projects/miami-circle/ | https://unsplash.com/s/photos/Miami%20Circle%20Park%20miami</t>
        </is>
      </c>
      <c r="N68" s="11" t="inlineStr">
        <is>
          <t>authentic venue/experience photo, ≥800px wide, no generic stock</t>
        </is>
      </c>
      <c r="O68" s="12" t="inlineStr">
        <is>
          <t>High</t>
        </is>
      </c>
    </row>
    <row r="69" ht="19" customHeight="1">
      <c r="A69" s="13" t="inlineStr">
        <is>
          <t>65f023cb-5822-5cf0-952e-70d0f0be9d0a</t>
        </is>
      </c>
      <c r="B69" s="13" t="inlineStr">
        <is>
          <t>miami-circle-brickell</t>
        </is>
      </c>
      <c r="C69" s="13" t="inlineStr">
        <is>
          <t>The 2,000-Year-Old Circle</t>
        </is>
      </c>
      <c r="D69" s="13" t="inlineStr">
        <is>
          <t>Miami Circle Park</t>
        </is>
      </c>
      <c r="E69" s="13" t="inlineStr">
        <is>
          <t>Venue Logo</t>
        </is>
      </c>
      <c r="F69" s="15" t="inlineStr">
        <is>
          <t>Website</t>
        </is>
      </c>
      <c r="G69" s="13" t="n"/>
      <c r="H69" s="12" t="inlineStr">
        <is>
          <t>Needs Sourcing</t>
        </is>
      </c>
      <c r="I69" s="16" t="n">
        <v>1</v>
      </c>
      <c r="J69" s="16" t="n">
        <v>0</v>
      </c>
      <c r="K69" s="13" t="inlineStr">
        <is>
          <t>Official Website</t>
        </is>
      </c>
      <c r="L69" s="15" t="inlineStr">
        <is>
          <t>Open Source</t>
        </is>
      </c>
      <c r="M69" s="17" t="inlineStr">
        <is>
          <t>https://dos.fl.gov/historical/archaeology/projects/miami-circle/</t>
        </is>
      </c>
      <c r="N69" s="17" t="inlineStr">
        <is>
          <t>square business logo/avatar for the circular profile image over the hero</t>
        </is>
      </c>
      <c r="O69" s="12" t="inlineStr">
        <is>
          <t>High</t>
        </is>
      </c>
    </row>
    <row r="70" ht="34" customHeight="1">
      <c r="A70" s="6" t="inlineStr">
        <is>
          <t>8bcf25da-8073-5260-8722-2bf942b352fa</t>
        </is>
      </c>
      <c r="B70" s="6" t="inlineStr">
        <is>
          <t>miami-design-district</t>
        </is>
      </c>
      <c r="C70" s="6" t="inlineStr">
        <is>
          <t>The Palm Court Puzzle</t>
        </is>
      </c>
      <c r="D70" s="6" t="inlineStr">
        <is>
          <t>Miami Design District</t>
        </is>
      </c>
      <c r="E70" s="6" t="inlineStr">
        <is>
          <t>Hero Image</t>
        </is>
      </c>
      <c r="F70" s="9" t="inlineStr">
        <is>
          <t>Website</t>
        </is>
      </c>
      <c r="G70" s="9" t="inlineStr">
        <is>
          <t>Instagram</t>
        </is>
      </c>
      <c r="H70" s="12" t="inlineStr">
        <is>
          <t>Needs Sourcing</t>
        </is>
      </c>
      <c r="I70" s="10" t="n">
        <v>3</v>
      </c>
      <c r="J70" s="10" t="n">
        <v>0</v>
      </c>
      <c r="K70" s="6" t="inlineStr">
        <is>
          <t>Official Website</t>
        </is>
      </c>
      <c r="L70" s="9" t="inlineStr">
        <is>
          <t>Open Source</t>
        </is>
      </c>
      <c r="M70" s="11" t="inlineStr">
        <is>
          <t>https://unsplash.com/s/photos/Miami%20Design%20District%20miami | https://www.instagram.com/miamidesigndistrict/ | https://www.miamidesigndistrict.com/</t>
        </is>
      </c>
      <c r="N70" s="11" t="inlineStr">
        <is>
          <t>authentic venue/experience photo, ≥800px wide, no generic stock</t>
        </is>
      </c>
      <c r="O70" s="12" t="inlineStr">
        <is>
          <t>High</t>
        </is>
      </c>
    </row>
    <row r="71" ht="19" customHeight="1">
      <c r="A71" s="13" t="inlineStr">
        <is>
          <t>8bcf25da-8073-5260-8722-2bf942b352fa</t>
        </is>
      </c>
      <c r="B71" s="13" t="inlineStr">
        <is>
          <t>miami-design-district</t>
        </is>
      </c>
      <c r="C71" s="13" t="inlineStr">
        <is>
          <t>The Palm Court Puzzle</t>
        </is>
      </c>
      <c r="D71" s="13" t="inlineStr">
        <is>
          <t>Miami Design District</t>
        </is>
      </c>
      <c r="E71" s="13" t="inlineStr">
        <is>
          <t>Venue Logo</t>
        </is>
      </c>
      <c r="F71" s="15" t="inlineStr">
        <is>
          <t>Website</t>
        </is>
      </c>
      <c r="G71" s="15" t="inlineStr">
        <is>
          <t>Instagram</t>
        </is>
      </c>
      <c r="H71" s="12" t="inlineStr">
        <is>
          <t>Needs Sourcing</t>
        </is>
      </c>
      <c r="I71" s="16" t="n">
        <v>2</v>
      </c>
      <c r="J71" s="16" t="n">
        <v>0</v>
      </c>
      <c r="K71" s="13" t="inlineStr">
        <is>
          <t>Official Website</t>
        </is>
      </c>
      <c r="L71" s="15" t="inlineStr">
        <is>
          <t>Open Source</t>
        </is>
      </c>
      <c r="M71" s="17" t="inlineStr">
        <is>
          <t>https://www.instagram.com/miamidesigndistrict/ | https://www.miamidesigndistrict.com/</t>
        </is>
      </c>
      <c r="N71" s="17" t="inlineStr">
        <is>
          <t>square business logo/avatar for the circular profile image over the hero</t>
        </is>
      </c>
      <c r="O71" s="12" t="inlineStr">
        <is>
          <t>High</t>
        </is>
      </c>
    </row>
    <row r="72" ht="34" customHeight="1">
      <c r="A72" s="6" t="inlineStr">
        <is>
          <t>6f78cab4-49e2-5ad2-b540-b9b05ee13985</t>
        </is>
      </c>
      <c r="B72" s="6" t="inlineStr">
        <is>
          <t>miami-worldcenter</t>
        </is>
      </c>
      <c r="C72" s="6" t="inlineStr">
        <is>
          <t>City Under Construction</t>
        </is>
      </c>
      <c r="D72" s="6" t="inlineStr">
        <is>
          <t>Miami Worldcenter</t>
        </is>
      </c>
      <c r="E72" s="6" t="inlineStr">
        <is>
          <t>Hero Image</t>
        </is>
      </c>
      <c r="F72" s="9" t="inlineStr">
        <is>
          <t>Website</t>
        </is>
      </c>
      <c r="G72" s="9" t="inlineStr">
        <is>
          <t>Instagram</t>
        </is>
      </c>
      <c r="H72" s="12" t="inlineStr">
        <is>
          <t>Needs Sourcing</t>
        </is>
      </c>
      <c r="I72" s="10" t="n">
        <v>3</v>
      </c>
      <c r="J72" s="10" t="n">
        <v>0</v>
      </c>
      <c r="K72" s="6" t="inlineStr">
        <is>
          <t>Official Website</t>
        </is>
      </c>
      <c r="L72" s="9" t="inlineStr">
        <is>
          <t>Open Source</t>
        </is>
      </c>
      <c r="M72" s="11" t="inlineStr">
        <is>
          <t>https://miamiworldcenter.com/ | https://unsplash.com/s/photos/Miami%20Worldcenter%20miami | https://www.instagram.com/miamiworldcenter/</t>
        </is>
      </c>
      <c r="N72" s="11" t="inlineStr">
        <is>
          <t>authentic venue/experience photo, ≥800px wide, no generic stock</t>
        </is>
      </c>
      <c r="O72" s="12" t="inlineStr">
        <is>
          <t>High</t>
        </is>
      </c>
    </row>
    <row r="73" ht="19" customHeight="1">
      <c r="A73" s="13" t="inlineStr">
        <is>
          <t>6f78cab4-49e2-5ad2-b540-b9b05ee13985</t>
        </is>
      </c>
      <c r="B73" s="13" t="inlineStr">
        <is>
          <t>miami-worldcenter</t>
        </is>
      </c>
      <c r="C73" s="13" t="inlineStr">
        <is>
          <t>City Under Construction</t>
        </is>
      </c>
      <c r="D73" s="13" t="inlineStr">
        <is>
          <t>Miami Worldcenter</t>
        </is>
      </c>
      <c r="E73" s="13" t="inlineStr">
        <is>
          <t>Venue Logo</t>
        </is>
      </c>
      <c r="F73" s="15" t="inlineStr">
        <is>
          <t>Website</t>
        </is>
      </c>
      <c r="G73" s="15" t="inlineStr">
        <is>
          <t>Instagram</t>
        </is>
      </c>
      <c r="H73" s="12" t="inlineStr">
        <is>
          <t>Needs Sourcing</t>
        </is>
      </c>
      <c r="I73" s="16" t="n">
        <v>2</v>
      </c>
      <c r="J73" s="16" t="n">
        <v>0</v>
      </c>
      <c r="K73" s="13" t="inlineStr">
        <is>
          <t>Official Website</t>
        </is>
      </c>
      <c r="L73" s="15" t="inlineStr">
        <is>
          <t>Open Source</t>
        </is>
      </c>
      <c r="M73" s="17" t="inlineStr">
        <is>
          <t>https://miamiworldcenter.com/ | https://www.instagram.com/miamiworldcenter/</t>
        </is>
      </c>
      <c r="N73" s="17" t="inlineStr">
        <is>
          <t>square business logo/avatar for the circular profile image over the hero</t>
        </is>
      </c>
      <c r="O73" s="12" t="inlineStr">
        <is>
          <t>High</t>
        </is>
      </c>
    </row>
    <row r="74" ht="34" customHeight="1">
      <c r="A74" s="6" t="inlineStr">
        <is>
          <t>f83fafee-9d6f-5c55-99f2-cf2df2fa9c51</t>
        </is>
      </c>
      <c r="B74" s="6" t="inlineStr">
        <is>
          <t>midorie-coconut-grove</t>
        </is>
      </c>
      <c r="C74" s="6" t="inlineStr">
        <is>
          <t>Lost in the Grove</t>
        </is>
      </c>
      <c r="D74" s="6" t="inlineStr">
        <is>
          <t>Midorie Miami</t>
        </is>
      </c>
      <c r="E74" s="6" t="inlineStr">
        <is>
          <t>Hero Image</t>
        </is>
      </c>
      <c r="F74" s="9" t="inlineStr">
        <is>
          <t>Website</t>
        </is>
      </c>
      <c r="G74" s="9" t="inlineStr">
        <is>
          <t>Instagram</t>
        </is>
      </c>
      <c r="H74" s="12" t="inlineStr">
        <is>
          <t>Needs Sourcing</t>
        </is>
      </c>
      <c r="I74" s="10" t="n">
        <v>3</v>
      </c>
      <c r="J74" s="10" t="n">
        <v>0</v>
      </c>
      <c r="K74" s="6" t="inlineStr">
        <is>
          <t>Official Website</t>
        </is>
      </c>
      <c r="L74" s="9" t="inlineStr">
        <is>
          <t>Open Source</t>
        </is>
      </c>
      <c r="M74" s="11" t="inlineStr">
        <is>
          <t>https://unsplash.com/s/photos/Midorie%20Miami%20miami | https://www.instagram.com/midorie_miami/ | https://www.midoriemiami.com/</t>
        </is>
      </c>
      <c r="N74" s="11" t="inlineStr">
        <is>
          <t>authentic venue/experience photo, ≥800px wide, no generic stock</t>
        </is>
      </c>
      <c r="O74" s="12" t="inlineStr">
        <is>
          <t>High</t>
        </is>
      </c>
    </row>
    <row r="75" ht="19" customHeight="1">
      <c r="A75" s="13" t="inlineStr">
        <is>
          <t>f83fafee-9d6f-5c55-99f2-cf2df2fa9c51</t>
        </is>
      </c>
      <c r="B75" s="13" t="inlineStr">
        <is>
          <t>midorie-coconut-grove</t>
        </is>
      </c>
      <c r="C75" s="13" t="inlineStr">
        <is>
          <t>Lost in the Grove</t>
        </is>
      </c>
      <c r="D75" s="13" t="inlineStr">
        <is>
          <t>Midorie Miami</t>
        </is>
      </c>
      <c r="E75" s="13" t="inlineStr">
        <is>
          <t>Venue Logo</t>
        </is>
      </c>
      <c r="F75" s="15" t="inlineStr">
        <is>
          <t>Website</t>
        </is>
      </c>
      <c r="G75" s="15" t="inlineStr">
        <is>
          <t>Instagram</t>
        </is>
      </c>
      <c r="H75" s="12" t="inlineStr">
        <is>
          <t>Needs Sourcing</t>
        </is>
      </c>
      <c r="I75" s="16" t="n">
        <v>2</v>
      </c>
      <c r="J75" s="16" t="n">
        <v>0</v>
      </c>
      <c r="K75" s="13" t="inlineStr">
        <is>
          <t>Official Website</t>
        </is>
      </c>
      <c r="L75" s="15" t="inlineStr">
        <is>
          <t>Open Source</t>
        </is>
      </c>
      <c r="M75" s="17" t="inlineStr">
        <is>
          <t>https://www.instagram.com/midorie_miami/ | https://www.midoriemiami.com/</t>
        </is>
      </c>
      <c r="N75" s="17" t="inlineStr">
        <is>
          <t>square business logo/avatar for the circular profile image over the hero</t>
        </is>
      </c>
      <c r="O75" s="12" t="inlineStr">
        <is>
          <t>High</t>
        </is>
      </c>
    </row>
    <row r="76" ht="34" customHeight="1">
      <c r="A76" s="6" t="inlineStr">
        <is>
          <t>ef37220b-c1f4-578a-b0cc-2bbe3b575fb4</t>
        </is>
      </c>
      <c r="B76" s="6" t="inlineStr">
        <is>
          <t>miracle-mile-coral-gables</t>
        </is>
      </c>
      <c r="C76" s="6" t="inlineStr">
        <is>
          <t>The Half-Mile Miracle</t>
        </is>
      </c>
      <c r="D76" s="6" t="inlineStr">
        <is>
          <t>Miracle Mile</t>
        </is>
      </c>
      <c r="E76" s="6" t="inlineStr">
        <is>
          <t>Hero Image</t>
        </is>
      </c>
      <c r="F76" s="9" t="inlineStr">
        <is>
          <t>Website</t>
        </is>
      </c>
      <c r="G76" s="9" t="inlineStr">
        <is>
          <t>Instagram</t>
        </is>
      </c>
      <c r="H76" s="12" t="inlineStr">
        <is>
          <t>Needs Sourcing</t>
        </is>
      </c>
      <c r="I76" s="10" t="n">
        <v>3</v>
      </c>
      <c r="J76" s="10" t="n">
        <v>0</v>
      </c>
      <c r="K76" s="6" t="inlineStr">
        <is>
          <t>Official Website</t>
        </is>
      </c>
      <c r="L76" s="9" t="inlineStr">
        <is>
          <t>Open Source</t>
        </is>
      </c>
      <c r="M76" s="11" t="inlineStr">
        <is>
          <t>https://unsplash.com/s/photos/Miracle%20Mile%20miami | https://www.coralgables.com/attractions/miracle-mile | https://www.instagram.com/cityofcoralgables/</t>
        </is>
      </c>
      <c r="N76" s="11" t="inlineStr">
        <is>
          <t>authentic venue/experience photo, ≥800px wide, no generic stock</t>
        </is>
      </c>
      <c r="O76" s="12" t="inlineStr">
        <is>
          <t>High</t>
        </is>
      </c>
    </row>
    <row r="77" ht="34" customHeight="1">
      <c r="A77" s="13" t="inlineStr">
        <is>
          <t>ef37220b-c1f4-578a-b0cc-2bbe3b575fb4</t>
        </is>
      </c>
      <c r="B77" s="13" t="inlineStr">
        <is>
          <t>miracle-mile-coral-gables</t>
        </is>
      </c>
      <c r="C77" s="13" t="inlineStr">
        <is>
          <t>The Half-Mile Miracle</t>
        </is>
      </c>
      <c r="D77" s="13" t="inlineStr">
        <is>
          <t>Miracle Mile</t>
        </is>
      </c>
      <c r="E77" s="13" t="inlineStr">
        <is>
          <t>Venue Logo</t>
        </is>
      </c>
      <c r="F77" s="15" t="inlineStr">
        <is>
          <t>Website</t>
        </is>
      </c>
      <c r="G77" s="15" t="inlineStr">
        <is>
          <t>Instagram</t>
        </is>
      </c>
      <c r="H77" s="12" t="inlineStr">
        <is>
          <t>Needs Sourcing</t>
        </is>
      </c>
      <c r="I77" s="16" t="n">
        <v>2</v>
      </c>
      <c r="J77" s="16" t="n">
        <v>0</v>
      </c>
      <c r="K77" s="13" t="inlineStr">
        <is>
          <t>Official Website</t>
        </is>
      </c>
      <c r="L77" s="15" t="inlineStr">
        <is>
          <t>Open Source</t>
        </is>
      </c>
      <c r="M77" s="17" t="inlineStr">
        <is>
          <t>https://www.coralgables.com/attractions/miracle-mile | https://www.instagram.com/cityofcoralgables/</t>
        </is>
      </c>
      <c r="N77" s="17" t="inlineStr">
        <is>
          <t>square business logo/avatar for the circular profile image over the hero</t>
        </is>
      </c>
      <c r="O77" s="12" t="inlineStr">
        <is>
          <t>High</t>
        </is>
      </c>
    </row>
    <row r="78" ht="34" customHeight="1">
      <c r="A78" s="6" t="inlineStr">
        <is>
          <t>57574160-f082-5ff5-87ea-33846c15f93e</t>
        </is>
      </c>
      <c r="B78" s="6" t="inlineStr">
        <is>
          <t>naomis-garden-little-haiti</t>
        </is>
      </c>
      <c r="C78" s="6" t="inlineStr">
        <is>
          <t>The Garden of Little Haiti</t>
        </is>
      </c>
      <c r="D78" s="6" t="inlineStr">
        <is>
          <t>Naomi's Garden Restaurant &amp; Lounge</t>
        </is>
      </c>
      <c r="E78" s="6" t="inlineStr">
        <is>
          <t>Hero Image</t>
        </is>
      </c>
      <c r="F78" s="9" t="inlineStr">
        <is>
          <t>Website</t>
        </is>
      </c>
      <c r="G78" s="9" t="inlineStr">
        <is>
          <t>Instagram</t>
        </is>
      </c>
      <c r="H78" s="12" t="inlineStr">
        <is>
          <t>Needs Sourcing</t>
        </is>
      </c>
      <c r="I78" s="10" t="n">
        <v>3</v>
      </c>
      <c r="J78" s="10" t="n">
        <v>0</v>
      </c>
      <c r="K78" s="6" t="inlineStr">
        <is>
          <t>Official Website</t>
        </is>
      </c>
      <c r="L78" s="9" t="inlineStr">
        <is>
          <t>Open Source</t>
        </is>
      </c>
      <c r="M78" s="11" t="inlineStr">
        <is>
          <t>https://naomismiami.com/ | https://unsplash.com/s/photos/Naomi's%20Garden%20Restaurant%20%26%20Lounge%20miami | https://www.instagram.com/naomismiami/</t>
        </is>
      </c>
      <c r="N78" s="11" t="inlineStr">
        <is>
          <t>authentic venue/experience photo, ≥800px wide, no generic stock</t>
        </is>
      </c>
      <c r="O78" s="12" t="inlineStr">
        <is>
          <t>High</t>
        </is>
      </c>
    </row>
    <row r="79" ht="19" customHeight="1">
      <c r="A79" s="13" t="inlineStr">
        <is>
          <t>57574160-f082-5ff5-87ea-33846c15f93e</t>
        </is>
      </c>
      <c r="B79" s="13" t="inlineStr">
        <is>
          <t>naomis-garden-little-haiti</t>
        </is>
      </c>
      <c r="C79" s="13" t="inlineStr">
        <is>
          <t>The Garden of Little Haiti</t>
        </is>
      </c>
      <c r="D79" s="13" t="inlineStr">
        <is>
          <t>Naomi's Garden Restaurant &amp; Lounge</t>
        </is>
      </c>
      <c r="E79" s="13" t="inlineStr">
        <is>
          <t>Venue Logo</t>
        </is>
      </c>
      <c r="F79" s="15" t="inlineStr">
        <is>
          <t>Website</t>
        </is>
      </c>
      <c r="G79" s="15" t="inlineStr">
        <is>
          <t>Instagram</t>
        </is>
      </c>
      <c r="H79" s="12" t="inlineStr">
        <is>
          <t>Needs Sourcing</t>
        </is>
      </c>
      <c r="I79" s="16" t="n">
        <v>2</v>
      </c>
      <c r="J79" s="16" t="n">
        <v>0</v>
      </c>
      <c r="K79" s="13" t="inlineStr">
        <is>
          <t>Official Website</t>
        </is>
      </c>
      <c r="L79" s="15" t="inlineStr">
        <is>
          <t>Open Source</t>
        </is>
      </c>
      <c r="M79" s="17" t="inlineStr">
        <is>
          <t>https://naomismiami.com/ | https://www.instagram.com/naomismiami/</t>
        </is>
      </c>
      <c r="N79" s="17" t="inlineStr">
        <is>
          <t>square business logo/avatar for the circular profile image over the hero</t>
        </is>
      </c>
      <c r="O79" s="12" t="inlineStr">
        <is>
          <t>High</t>
        </is>
      </c>
    </row>
    <row r="80" ht="34" customHeight="1">
      <c r="A80" s="6" t="inlineStr">
        <is>
          <t>8c2d780a-5ad9-5e8d-b764-47902ba01d59</t>
        </is>
      </c>
      <c r="B80" s="6" t="inlineStr">
        <is>
          <t>over-under-downtown</t>
        </is>
      </c>
      <c r="C80" s="6" t="inlineStr">
        <is>
          <t>Flagler Street Revival</t>
        </is>
      </c>
      <c r="D80" s="6" t="inlineStr">
        <is>
          <t>Over Under</t>
        </is>
      </c>
      <c r="E80" s="6" t="inlineStr">
        <is>
          <t>Hero Image</t>
        </is>
      </c>
      <c r="F80" s="9" t="inlineStr">
        <is>
          <t>Website</t>
        </is>
      </c>
      <c r="G80" s="9" t="inlineStr">
        <is>
          <t>Instagram</t>
        </is>
      </c>
      <c r="H80" s="12" t="inlineStr">
        <is>
          <t>Needs Sourcing</t>
        </is>
      </c>
      <c r="I80" s="10" t="n">
        <v>3</v>
      </c>
      <c r="J80" s="10" t="n">
        <v>0</v>
      </c>
      <c r="K80" s="6" t="inlineStr">
        <is>
          <t>Official Website</t>
        </is>
      </c>
      <c r="L80" s="9" t="inlineStr">
        <is>
          <t>Open Source</t>
        </is>
      </c>
      <c r="M80" s="11" t="inlineStr">
        <is>
          <t>https://overundermiami.com/ | https://unsplash.com/s/photos/Over%20Under%20miami | https://www.instagram.com/overundermiami/</t>
        </is>
      </c>
      <c r="N80" s="11" t="inlineStr">
        <is>
          <t>authentic venue/experience photo, ≥800px wide, no generic stock</t>
        </is>
      </c>
      <c r="O80" s="12" t="inlineStr">
        <is>
          <t>High</t>
        </is>
      </c>
    </row>
    <row r="81" ht="19" customHeight="1">
      <c r="A81" s="13" t="inlineStr">
        <is>
          <t>8c2d780a-5ad9-5e8d-b764-47902ba01d59</t>
        </is>
      </c>
      <c r="B81" s="13" t="inlineStr">
        <is>
          <t>over-under-downtown</t>
        </is>
      </c>
      <c r="C81" s="13" t="inlineStr">
        <is>
          <t>Flagler Street Revival</t>
        </is>
      </c>
      <c r="D81" s="13" t="inlineStr">
        <is>
          <t>Over Under</t>
        </is>
      </c>
      <c r="E81" s="13" t="inlineStr">
        <is>
          <t>Venue Logo</t>
        </is>
      </c>
      <c r="F81" s="15" t="inlineStr">
        <is>
          <t>Website</t>
        </is>
      </c>
      <c r="G81" s="15" t="inlineStr">
        <is>
          <t>Instagram</t>
        </is>
      </c>
      <c r="H81" s="12" t="inlineStr">
        <is>
          <t>Needs Sourcing</t>
        </is>
      </c>
      <c r="I81" s="16" t="n">
        <v>2</v>
      </c>
      <c r="J81" s="16" t="n">
        <v>0</v>
      </c>
      <c r="K81" s="13" t="inlineStr">
        <is>
          <t>Official Website</t>
        </is>
      </c>
      <c r="L81" s="15" t="inlineStr">
        <is>
          <t>Open Source</t>
        </is>
      </c>
      <c r="M81" s="17" t="inlineStr">
        <is>
          <t>https://overundermiami.com/ | https://www.instagram.com/overundermiami/</t>
        </is>
      </c>
      <c r="N81" s="17" t="inlineStr">
        <is>
          <t>square business logo/avatar for the circular profile image over the hero</t>
        </is>
      </c>
      <c r="O81" s="12" t="inlineStr">
        <is>
          <t>High</t>
        </is>
      </c>
    </row>
    <row r="82" ht="34" customHeight="1">
      <c r="A82" s="6" t="inlineStr">
        <is>
          <t>1194aef9-bc2f-5cc8-bbd9-e0c7a9e3e067</t>
        </is>
      </c>
      <c r="B82" s="6" t="inlineStr">
        <is>
          <t>panther-coffee-wynwood</t>
        </is>
      </c>
      <c r="C82" s="6" t="inlineStr">
        <is>
          <t>The Wynwood Original</t>
        </is>
      </c>
      <c r="D82" s="6" t="inlineStr">
        <is>
          <t>Panther Coffee - Wynwood</t>
        </is>
      </c>
      <c r="E82" s="6" t="inlineStr">
        <is>
          <t>Hero Image</t>
        </is>
      </c>
      <c r="F82" s="9" t="inlineStr">
        <is>
          <t>Website</t>
        </is>
      </c>
      <c r="G82" s="9" t="inlineStr">
        <is>
          <t>Instagram</t>
        </is>
      </c>
      <c r="H82" s="12" t="inlineStr">
        <is>
          <t>Needs Sourcing</t>
        </is>
      </c>
      <c r="I82" s="10" t="n">
        <v>3</v>
      </c>
      <c r="J82" s="10" t="n">
        <v>0</v>
      </c>
      <c r="K82" s="6" t="inlineStr">
        <is>
          <t>Official Website</t>
        </is>
      </c>
      <c r="L82" s="9" t="inlineStr">
        <is>
          <t>Open Source</t>
        </is>
      </c>
      <c r="M82" s="11" t="inlineStr">
        <is>
          <t>https://panthercoffee.com/ | https://unsplash.com/s/photos/Panther%20Coffee%20-%20Wynwood%20miami | https://www.instagram.com/panthercoffee/</t>
        </is>
      </c>
      <c r="N82" s="11" t="inlineStr">
        <is>
          <t>authentic venue/experience photo, ≥800px wide, no generic stock</t>
        </is>
      </c>
      <c r="O82" s="12" t="inlineStr">
        <is>
          <t>High</t>
        </is>
      </c>
    </row>
    <row r="83" ht="19" customHeight="1">
      <c r="A83" s="13" t="inlineStr">
        <is>
          <t>1194aef9-bc2f-5cc8-bbd9-e0c7a9e3e067</t>
        </is>
      </c>
      <c r="B83" s="13" t="inlineStr">
        <is>
          <t>panther-coffee-wynwood</t>
        </is>
      </c>
      <c r="C83" s="13" t="inlineStr">
        <is>
          <t>The Wynwood Original</t>
        </is>
      </c>
      <c r="D83" s="13" t="inlineStr">
        <is>
          <t>Panther Coffee - Wynwood</t>
        </is>
      </c>
      <c r="E83" s="13" t="inlineStr">
        <is>
          <t>Venue Logo</t>
        </is>
      </c>
      <c r="F83" s="15" t="inlineStr">
        <is>
          <t>Website</t>
        </is>
      </c>
      <c r="G83" s="15" t="inlineStr">
        <is>
          <t>Instagram</t>
        </is>
      </c>
      <c r="H83" s="12" t="inlineStr">
        <is>
          <t>Needs Sourcing</t>
        </is>
      </c>
      <c r="I83" s="16" t="n">
        <v>2</v>
      </c>
      <c r="J83" s="16" t="n">
        <v>0</v>
      </c>
      <c r="K83" s="13" t="inlineStr">
        <is>
          <t>Official Website</t>
        </is>
      </c>
      <c r="L83" s="15" t="inlineStr">
        <is>
          <t>Open Source</t>
        </is>
      </c>
      <c r="M83" s="17" t="inlineStr">
        <is>
          <t>https://panthercoffee.com/ | https://www.instagram.com/panthercoffee/</t>
        </is>
      </c>
      <c r="N83" s="17" t="inlineStr">
        <is>
          <t>square business logo/avatar for the circular profile image over the hero</t>
        </is>
      </c>
      <c r="O83" s="12" t="inlineStr">
        <is>
          <t>High</t>
        </is>
      </c>
    </row>
    <row r="84" ht="34" customHeight="1">
      <c r="A84" s="6" t="inlineStr">
        <is>
          <t>35d5c752-ef36-5b64-a47c-b5f49a66a340</t>
        </is>
      </c>
      <c r="B84" s="6" t="inlineStr">
        <is>
          <t>pasion-del-cielo-brickell</t>
        </is>
      </c>
      <c r="C84" s="6" t="inlineStr">
        <is>
          <t>Heaven on Brickell</t>
        </is>
      </c>
      <c r="D84" s="6" t="inlineStr">
        <is>
          <t>Pasión del Cielo Coffee - Brickell</t>
        </is>
      </c>
      <c r="E84" s="6" t="inlineStr">
        <is>
          <t>Hero Image</t>
        </is>
      </c>
      <c r="F84" s="9" t="inlineStr">
        <is>
          <t>Website</t>
        </is>
      </c>
      <c r="G84" s="9" t="inlineStr">
        <is>
          <t>Instagram</t>
        </is>
      </c>
      <c r="H84" s="12" t="inlineStr">
        <is>
          <t>Needs Sourcing</t>
        </is>
      </c>
      <c r="I84" s="10" t="n">
        <v>3</v>
      </c>
      <c r="J84" s="10" t="n">
        <v>0</v>
      </c>
      <c r="K84" s="6" t="inlineStr">
        <is>
          <t>Official Website</t>
        </is>
      </c>
      <c r="L84" s="9" t="inlineStr">
        <is>
          <t>Open Source</t>
        </is>
      </c>
      <c r="M84" s="11" t="inlineStr">
        <is>
          <t>https://unsplash.com/s/photos/Pasi%C3%B3n%20del%20Cielo%20Coffee%20-%20Brickell%20miami | https://www.instagram.com/pasiondelcielocoffee/ | https://www.pasiondelcielo.com/</t>
        </is>
      </c>
      <c r="N84" s="11" t="inlineStr">
        <is>
          <t>authentic venue/experience photo, ≥800px wide, no generic stock</t>
        </is>
      </c>
      <c r="O84" s="12" t="inlineStr">
        <is>
          <t>High</t>
        </is>
      </c>
    </row>
    <row r="85" ht="19" customHeight="1">
      <c r="A85" s="13" t="inlineStr">
        <is>
          <t>35d5c752-ef36-5b64-a47c-b5f49a66a340</t>
        </is>
      </c>
      <c r="B85" s="13" t="inlineStr">
        <is>
          <t>pasion-del-cielo-brickell</t>
        </is>
      </c>
      <c r="C85" s="13" t="inlineStr">
        <is>
          <t>Heaven on Brickell</t>
        </is>
      </c>
      <c r="D85" s="13" t="inlineStr">
        <is>
          <t>Pasión del Cielo Coffee - Brickell</t>
        </is>
      </c>
      <c r="E85" s="13" t="inlineStr">
        <is>
          <t>Venue Logo</t>
        </is>
      </c>
      <c r="F85" s="15" t="inlineStr">
        <is>
          <t>Website</t>
        </is>
      </c>
      <c r="G85" s="15" t="inlineStr">
        <is>
          <t>Instagram</t>
        </is>
      </c>
      <c r="H85" s="12" t="inlineStr">
        <is>
          <t>Needs Sourcing</t>
        </is>
      </c>
      <c r="I85" s="16" t="n">
        <v>2</v>
      </c>
      <c r="J85" s="16" t="n">
        <v>0</v>
      </c>
      <c r="K85" s="13" t="inlineStr">
        <is>
          <t>Official Website</t>
        </is>
      </c>
      <c r="L85" s="15" t="inlineStr">
        <is>
          <t>Open Source</t>
        </is>
      </c>
      <c r="M85" s="17" t="inlineStr">
        <is>
          <t>https://www.instagram.com/pasiondelcielocoffee/ | https://www.pasiondelcielo.com/</t>
        </is>
      </c>
      <c r="N85" s="17" t="inlineStr">
        <is>
          <t>square business logo/avatar for the circular profile image over the hero</t>
        </is>
      </c>
      <c r="O85" s="12" t="inlineStr">
        <is>
          <t>High</t>
        </is>
      </c>
    </row>
    <row r="86" ht="34" customHeight="1">
      <c r="A86" s="6" t="inlineStr">
        <is>
          <t>57d5ab07-74a4-5c75-a84d-dbe548785c99</t>
        </is>
      </c>
      <c r="B86" s="6" t="inlineStr">
        <is>
          <t>plant-the-future-little-river</t>
        </is>
      </c>
      <c r="C86" s="6" t="inlineStr">
        <is>
          <t>The Gas Station That Grew</t>
        </is>
      </c>
      <c r="D86" s="6" t="inlineStr">
        <is>
          <t>Plant the Future</t>
        </is>
      </c>
      <c r="E86" s="6" t="inlineStr">
        <is>
          <t>Hero Image</t>
        </is>
      </c>
      <c r="F86" s="9" t="inlineStr">
        <is>
          <t>Website</t>
        </is>
      </c>
      <c r="G86" s="9" t="inlineStr">
        <is>
          <t>Instagram</t>
        </is>
      </c>
      <c r="H86" s="12" t="inlineStr">
        <is>
          <t>Needs Sourcing</t>
        </is>
      </c>
      <c r="I86" s="10" t="n">
        <v>3</v>
      </c>
      <c r="J86" s="10" t="n">
        <v>0</v>
      </c>
      <c r="K86" s="6" t="inlineStr">
        <is>
          <t>Official Website</t>
        </is>
      </c>
      <c r="L86" s="9" t="inlineStr">
        <is>
          <t>Open Source</t>
        </is>
      </c>
      <c r="M86" s="11" t="inlineStr">
        <is>
          <t>https://unsplash.com/s/photos/Plant%20the%20Future%20miami | https://www.instagram.com/plantthefuture/ | https://www.plantthefuture.com/</t>
        </is>
      </c>
      <c r="N86" s="11" t="inlineStr">
        <is>
          <t>authentic venue/experience photo, ≥800px wide, no generic stock</t>
        </is>
      </c>
      <c r="O86" s="12" t="inlineStr">
        <is>
          <t>High</t>
        </is>
      </c>
    </row>
    <row r="87" ht="19" customHeight="1">
      <c r="A87" s="13" t="inlineStr">
        <is>
          <t>57d5ab07-74a4-5c75-a84d-dbe548785c99</t>
        </is>
      </c>
      <c r="B87" s="13" t="inlineStr">
        <is>
          <t>plant-the-future-little-river</t>
        </is>
      </c>
      <c r="C87" s="13" t="inlineStr">
        <is>
          <t>The Gas Station That Grew</t>
        </is>
      </c>
      <c r="D87" s="13" t="inlineStr">
        <is>
          <t>Plant the Future</t>
        </is>
      </c>
      <c r="E87" s="13" t="inlineStr">
        <is>
          <t>Venue Logo</t>
        </is>
      </c>
      <c r="F87" s="15" t="inlineStr">
        <is>
          <t>Website</t>
        </is>
      </c>
      <c r="G87" s="15" t="inlineStr">
        <is>
          <t>Instagram</t>
        </is>
      </c>
      <c r="H87" s="12" t="inlineStr">
        <is>
          <t>Needs Sourcing</t>
        </is>
      </c>
      <c r="I87" s="16" t="n">
        <v>2</v>
      </c>
      <c r="J87" s="16" t="n">
        <v>0</v>
      </c>
      <c r="K87" s="13" t="inlineStr">
        <is>
          <t>Official Website</t>
        </is>
      </c>
      <c r="L87" s="15" t="inlineStr">
        <is>
          <t>Open Source</t>
        </is>
      </c>
      <c r="M87" s="17" t="inlineStr">
        <is>
          <t>https://www.instagram.com/plantthefuture/ | https://www.plantthefuture.com/</t>
        </is>
      </c>
      <c r="N87" s="17" t="inlineStr">
        <is>
          <t>square business logo/avatar for the circular profile image over the hero</t>
        </is>
      </c>
      <c r="O87" s="12" t="inlineStr">
        <is>
          <t>High</t>
        </is>
      </c>
    </row>
    <row r="88" ht="34" customHeight="1">
      <c r="A88" s="6" t="inlineStr">
        <is>
          <t>b66e6390-cdbf-5b91-a613-def6cb716e0d</t>
        </is>
      </c>
      <c r="B88" s="6" t="inlineStr">
        <is>
          <t>perez-art-museum-miami</t>
        </is>
      </c>
      <c r="C88" s="6" t="inlineStr">
        <is>
          <t>Art on the Bay</t>
        </is>
      </c>
      <c r="D88" s="6" t="inlineStr">
        <is>
          <t>Pérez Art Museum Miami</t>
        </is>
      </c>
      <c r="E88" s="6" t="inlineStr">
        <is>
          <t>Hero Image</t>
        </is>
      </c>
      <c r="F88" s="9" t="inlineStr">
        <is>
          <t>Website</t>
        </is>
      </c>
      <c r="G88" s="9" t="inlineStr">
        <is>
          <t>Instagram</t>
        </is>
      </c>
      <c r="H88" s="12" t="inlineStr">
        <is>
          <t>Needs Sourcing</t>
        </is>
      </c>
      <c r="I88" s="10" t="n">
        <v>3</v>
      </c>
      <c r="J88" s="10" t="n">
        <v>0</v>
      </c>
      <c r="K88" s="6" t="inlineStr">
        <is>
          <t>Official Website</t>
        </is>
      </c>
      <c r="L88" s="9" t="inlineStr">
        <is>
          <t>Open Source</t>
        </is>
      </c>
      <c r="M88" s="11" t="inlineStr">
        <is>
          <t>https://unsplash.com/s/photos/P%C3%A9rez%20Art%20Museum%20Miami%20miami | https://www.instagram.com/pamm/ | https://www.pamm.org/</t>
        </is>
      </c>
      <c r="N88" s="11" t="inlineStr">
        <is>
          <t>authentic venue/experience photo, ≥800px wide, no generic stock</t>
        </is>
      </c>
      <c r="O88" s="12" t="inlineStr">
        <is>
          <t>High</t>
        </is>
      </c>
    </row>
    <row r="89" ht="19" customHeight="1">
      <c r="A89" s="13" t="inlineStr">
        <is>
          <t>b66e6390-cdbf-5b91-a613-def6cb716e0d</t>
        </is>
      </c>
      <c r="B89" s="13" t="inlineStr">
        <is>
          <t>perez-art-museum-miami</t>
        </is>
      </c>
      <c r="C89" s="13" t="inlineStr">
        <is>
          <t>Art on the Bay</t>
        </is>
      </c>
      <c r="D89" s="13" t="inlineStr">
        <is>
          <t>Pérez Art Museum Miami</t>
        </is>
      </c>
      <c r="E89" s="13" t="inlineStr">
        <is>
          <t>Venue Logo</t>
        </is>
      </c>
      <c r="F89" s="15" t="inlineStr">
        <is>
          <t>Website</t>
        </is>
      </c>
      <c r="G89" s="15" t="inlineStr">
        <is>
          <t>Instagram</t>
        </is>
      </c>
      <c r="H89" s="12" t="inlineStr">
        <is>
          <t>Needs Sourcing</t>
        </is>
      </c>
      <c r="I89" s="16" t="n">
        <v>2</v>
      </c>
      <c r="J89" s="16" t="n">
        <v>0</v>
      </c>
      <c r="K89" s="13" t="inlineStr">
        <is>
          <t>Official Website</t>
        </is>
      </c>
      <c r="L89" s="15" t="inlineStr">
        <is>
          <t>Open Source</t>
        </is>
      </c>
      <c r="M89" s="17" t="inlineStr">
        <is>
          <t>https://www.instagram.com/pamm/ | https://www.pamm.org/</t>
        </is>
      </c>
      <c r="N89" s="17" t="inlineStr">
        <is>
          <t>square business logo/avatar for the circular profile image over the hero</t>
        </is>
      </c>
      <c r="O89" s="12" t="inlineStr">
        <is>
          <t>High</t>
        </is>
      </c>
    </row>
    <row r="90" ht="34" customHeight="1">
      <c r="A90" s="6" t="inlineStr">
        <is>
          <t>12c8638e-fe85-540f-8160-72c32394f39d</t>
        </is>
      </c>
      <c r="B90" s="6" t="inlineStr">
        <is>
          <t>regatta-harbour-coconut-grove</t>
        </is>
      </c>
      <c r="C90" s="6" t="inlineStr">
        <is>
          <t>Dinner Key Discovery</t>
        </is>
      </c>
      <c r="D90" s="6" t="inlineStr">
        <is>
          <t>Regatta Harbour</t>
        </is>
      </c>
      <c r="E90" s="6" t="inlineStr">
        <is>
          <t>Hero Image</t>
        </is>
      </c>
      <c r="F90" s="9" t="inlineStr">
        <is>
          <t>Website</t>
        </is>
      </c>
      <c r="G90" s="9" t="inlineStr">
        <is>
          <t>Instagram</t>
        </is>
      </c>
      <c r="H90" s="12" t="inlineStr">
        <is>
          <t>Needs Sourcing</t>
        </is>
      </c>
      <c r="I90" s="10" t="n">
        <v>3</v>
      </c>
      <c r="J90" s="10" t="n">
        <v>0</v>
      </c>
      <c r="K90" s="6" t="inlineStr">
        <is>
          <t>Official Website</t>
        </is>
      </c>
      <c r="L90" s="9" t="inlineStr">
        <is>
          <t>Open Source</t>
        </is>
      </c>
      <c r="M90" s="11" t="inlineStr">
        <is>
          <t>https://unsplash.com/s/photos/Regatta%20Harbour%20miami | https://www.instagram.com/regattaharbour/ | https://www.regattaharbour.com/</t>
        </is>
      </c>
      <c r="N90" s="11" t="inlineStr">
        <is>
          <t>authentic venue/experience photo, ≥800px wide, no generic stock</t>
        </is>
      </c>
      <c r="O90" s="12" t="inlineStr">
        <is>
          <t>High</t>
        </is>
      </c>
    </row>
    <row r="91" ht="19" customHeight="1">
      <c r="A91" s="13" t="inlineStr">
        <is>
          <t>12c8638e-fe85-540f-8160-72c32394f39d</t>
        </is>
      </c>
      <c r="B91" s="13" t="inlineStr">
        <is>
          <t>regatta-harbour-coconut-grove</t>
        </is>
      </c>
      <c r="C91" s="13" t="inlineStr">
        <is>
          <t>Dinner Key Discovery</t>
        </is>
      </c>
      <c r="D91" s="13" t="inlineStr">
        <is>
          <t>Regatta Harbour</t>
        </is>
      </c>
      <c r="E91" s="13" t="inlineStr">
        <is>
          <t>Venue Logo</t>
        </is>
      </c>
      <c r="F91" s="15" t="inlineStr">
        <is>
          <t>Website</t>
        </is>
      </c>
      <c r="G91" s="15" t="inlineStr">
        <is>
          <t>Instagram</t>
        </is>
      </c>
      <c r="H91" s="12" t="inlineStr">
        <is>
          <t>Needs Sourcing</t>
        </is>
      </c>
      <c r="I91" s="16" t="n">
        <v>2</v>
      </c>
      <c r="J91" s="16" t="n">
        <v>0</v>
      </c>
      <c r="K91" s="13" t="inlineStr">
        <is>
          <t>Official Website</t>
        </is>
      </c>
      <c r="L91" s="15" t="inlineStr">
        <is>
          <t>Open Source</t>
        </is>
      </c>
      <c r="M91" s="17" t="inlineStr">
        <is>
          <t>https://www.instagram.com/regattaharbour/ | https://www.regattaharbour.com/</t>
        </is>
      </c>
      <c r="N91" s="17" t="inlineStr">
        <is>
          <t>square business logo/avatar for the circular profile image over the hero</t>
        </is>
      </c>
      <c r="O91" s="12" t="inlineStr">
        <is>
          <t>High</t>
        </is>
      </c>
    </row>
    <row r="92" ht="49" customHeight="1">
      <c r="A92" s="6" t="inlineStr">
        <is>
          <t>ee11a99b-d812-5e8e-a97c-1b6b4c264c22</t>
        </is>
      </c>
      <c r="B92" s="6" t="inlineStr">
        <is>
          <t>fairchild-tropical-garden</t>
        </is>
      </c>
      <c r="C92" s="6" t="inlineStr">
        <is>
          <t>Rainforest Within the Garden</t>
        </is>
      </c>
      <c r="D92" s="6" t="inlineStr">
        <is>
          <t>Richard H. Simons Rainforest at Fairchild Tropical Botanic Garden</t>
        </is>
      </c>
      <c r="E92" s="6" t="inlineStr">
        <is>
          <t>Hero Image</t>
        </is>
      </c>
      <c r="F92" s="9" t="inlineStr">
        <is>
          <t>Website</t>
        </is>
      </c>
      <c r="G92" s="9" t="inlineStr">
        <is>
          <t>Instagram</t>
        </is>
      </c>
      <c r="H92" s="12" t="inlineStr">
        <is>
          <t>Needs Sourcing</t>
        </is>
      </c>
      <c r="I92" s="10" t="n">
        <v>3</v>
      </c>
      <c r="J92" s="10" t="n">
        <v>0</v>
      </c>
      <c r="K92" s="6" t="inlineStr">
        <is>
          <t>Official Website</t>
        </is>
      </c>
      <c r="L92" s="9" t="inlineStr">
        <is>
          <t>Open Source</t>
        </is>
      </c>
      <c r="M92" s="11" t="inlineStr">
        <is>
          <t>https://fairchildgarden.org/ | https://unsplash.com/s/photos/Richard%20H.%20Simons%20Rainforest%20at%20Fairchild%20Tropical%20Botanic%20Garden%20miami | https://www.instagram.com/fairchildgarden/</t>
        </is>
      </c>
      <c r="N92" s="11" t="inlineStr">
        <is>
          <t>authentic venue/experience photo, ≥800px wide, no generic stock</t>
        </is>
      </c>
      <c r="O92" s="12" t="inlineStr">
        <is>
          <t>High</t>
        </is>
      </c>
    </row>
    <row r="93" ht="19" customHeight="1">
      <c r="A93" s="13" t="inlineStr">
        <is>
          <t>ee11a99b-d812-5e8e-a97c-1b6b4c264c22</t>
        </is>
      </c>
      <c r="B93" s="13" t="inlineStr">
        <is>
          <t>fairchild-tropical-garden</t>
        </is>
      </c>
      <c r="C93" s="13" t="inlineStr">
        <is>
          <t>Rainforest Within the Garden</t>
        </is>
      </c>
      <c r="D93" s="13" t="inlineStr">
        <is>
          <t>Richard H. Simons Rainforest at Fairchild Tropical Botanic Garden</t>
        </is>
      </c>
      <c r="E93" s="13" t="inlineStr">
        <is>
          <t>Venue Logo</t>
        </is>
      </c>
      <c r="F93" s="15" t="inlineStr">
        <is>
          <t>Website</t>
        </is>
      </c>
      <c r="G93" s="15" t="inlineStr">
        <is>
          <t>Instagram</t>
        </is>
      </c>
      <c r="H93" s="12" t="inlineStr">
        <is>
          <t>Needs Sourcing</t>
        </is>
      </c>
      <c r="I93" s="16" t="n">
        <v>2</v>
      </c>
      <c r="J93" s="16" t="n">
        <v>0</v>
      </c>
      <c r="K93" s="13" t="inlineStr">
        <is>
          <t>Official Website</t>
        </is>
      </c>
      <c r="L93" s="15" t="inlineStr">
        <is>
          <t>Open Source</t>
        </is>
      </c>
      <c r="M93" s="17" t="inlineStr">
        <is>
          <t>https://fairchildgarden.org/ | https://www.instagram.com/fairchildgarden/</t>
        </is>
      </c>
      <c r="N93" s="17" t="inlineStr">
        <is>
          <t>square business logo/avatar for the circular profile image over the hero</t>
        </is>
      </c>
      <c r="O93" s="12" t="inlineStr">
        <is>
          <t>High</t>
        </is>
      </c>
    </row>
    <row r="94" ht="34" customHeight="1">
      <c r="A94" s="6" t="inlineStr">
        <is>
          <t>3cef83c3-7d8d-5f7b-b122-7af4a8e08b6f</t>
        </is>
      </c>
      <c r="B94" s="6" t="inlineStr">
        <is>
          <t>rosetta-bakery-south-beach</t>
        </is>
      </c>
      <c r="C94" s="6" t="inlineStr">
        <is>
          <t>La Dolce Collins</t>
        </is>
      </c>
      <c r="D94" s="6" t="inlineStr">
        <is>
          <t>Rosetta Bakery - South Beach</t>
        </is>
      </c>
      <c r="E94" s="6" t="inlineStr">
        <is>
          <t>Hero Image</t>
        </is>
      </c>
      <c r="F94" s="9" t="inlineStr">
        <is>
          <t>Website</t>
        </is>
      </c>
      <c r="G94" s="9" t="inlineStr">
        <is>
          <t>Instagram</t>
        </is>
      </c>
      <c r="H94" s="12" t="inlineStr">
        <is>
          <t>Needs Sourcing</t>
        </is>
      </c>
      <c r="I94" s="10" t="n">
        <v>3</v>
      </c>
      <c r="J94" s="10" t="n">
        <v>0</v>
      </c>
      <c r="K94" s="6" t="inlineStr">
        <is>
          <t>Official Website</t>
        </is>
      </c>
      <c r="L94" s="9" t="inlineStr">
        <is>
          <t>Open Source</t>
        </is>
      </c>
      <c r="M94" s="11" t="inlineStr">
        <is>
          <t>https://unsplash.com/s/photos/Rosetta%20Bakery%20-%20South%20Beach%20miami | https://www.instagram.com/rosettabakery/ | https://www.rosettabakery.com/</t>
        </is>
      </c>
      <c r="N94" s="11" t="inlineStr">
        <is>
          <t>authentic venue/experience photo, ≥800px wide, no generic stock</t>
        </is>
      </c>
      <c r="O94" s="12" t="inlineStr">
        <is>
          <t>High</t>
        </is>
      </c>
    </row>
    <row r="95" ht="19" customHeight="1">
      <c r="A95" s="13" t="inlineStr">
        <is>
          <t>3cef83c3-7d8d-5f7b-b122-7af4a8e08b6f</t>
        </is>
      </c>
      <c r="B95" s="13" t="inlineStr">
        <is>
          <t>rosetta-bakery-south-beach</t>
        </is>
      </c>
      <c r="C95" s="13" t="inlineStr">
        <is>
          <t>La Dolce Collins</t>
        </is>
      </c>
      <c r="D95" s="13" t="inlineStr">
        <is>
          <t>Rosetta Bakery - South Beach</t>
        </is>
      </c>
      <c r="E95" s="13" t="inlineStr">
        <is>
          <t>Venue Logo</t>
        </is>
      </c>
      <c r="F95" s="15" t="inlineStr">
        <is>
          <t>Website</t>
        </is>
      </c>
      <c r="G95" s="15" t="inlineStr">
        <is>
          <t>Instagram</t>
        </is>
      </c>
      <c r="H95" s="12" t="inlineStr">
        <is>
          <t>Needs Sourcing</t>
        </is>
      </c>
      <c r="I95" s="16" t="n">
        <v>2</v>
      </c>
      <c r="J95" s="16" t="n">
        <v>0</v>
      </c>
      <c r="K95" s="13" t="inlineStr">
        <is>
          <t>Official Website</t>
        </is>
      </c>
      <c r="L95" s="15" t="inlineStr">
        <is>
          <t>Open Source</t>
        </is>
      </c>
      <c r="M95" s="17" t="inlineStr">
        <is>
          <t>https://www.instagram.com/rosettabakery/ | https://www.rosettabakery.com/</t>
        </is>
      </c>
      <c r="N95" s="17" t="inlineStr">
        <is>
          <t>square business logo/avatar for the circular profile image over the hero</t>
        </is>
      </c>
      <c r="O95" s="12" t="inlineStr">
        <is>
          <t>High</t>
        </is>
      </c>
    </row>
    <row r="96" ht="34" customHeight="1">
      <c r="A96" s="6" t="inlineStr">
        <is>
          <t>1bc37699-6441-5d08-8919-5e8862c51266</t>
        </is>
      </c>
      <c r="B96" s="6" t="inlineStr">
        <is>
          <t>rubell-museum-allapattah</t>
        </is>
      </c>
      <c r="C96" s="6" t="inlineStr">
        <is>
          <t>The Collectors' Warehouse</t>
        </is>
      </c>
      <c r="D96" s="6" t="inlineStr">
        <is>
          <t>Rubell Museum</t>
        </is>
      </c>
      <c r="E96" s="6" t="inlineStr">
        <is>
          <t>Hero Image</t>
        </is>
      </c>
      <c r="F96" s="9" t="inlineStr">
        <is>
          <t>Website</t>
        </is>
      </c>
      <c r="G96" s="9" t="inlineStr">
        <is>
          <t>Instagram</t>
        </is>
      </c>
      <c r="H96" s="12" t="inlineStr">
        <is>
          <t>Needs Sourcing</t>
        </is>
      </c>
      <c r="I96" s="10" t="n">
        <v>3</v>
      </c>
      <c r="J96" s="10" t="n">
        <v>0</v>
      </c>
      <c r="K96" s="6" t="inlineStr">
        <is>
          <t>Official Website</t>
        </is>
      </c>
      <c r="L96" s="9" t="inlineStr">
        <is>
          <t>Open Source</t>
        </is>
      </c>
      <c r="M96" s="11" t="inlineStr">
        <is>
          <t>https://rubellmuseum.org/ | https://unsplash.com/s/photos/Rubell%20Museum%20miami | https://www.instagram.com/rubellmuseum/</t>
        </is>
      </c>
      <c r="N96" s="11" t="inlineStr">
        <is>
          <t>authentic venue/experience photo, ≥800px wide, no generic stock</t>
        </is>
      </c>
      <c r="O96" s="12" t="inlineStr">
        <is>
          <t>High</t>
        </is>
      </c>
    </row>
    <row r="97" ht="19" customHeight="1">
      <c r="A97" s="13" t="inlineStr">
        <is>
          <t>1bc37699-6441-5d08-8919-5e8862c51266</t>
        </is>
      </c>
      <c r="B97" s="13" t="inlineStr">
        <is>
          <t>rubell-museum-allapattah</t>
        </is>
      </c>
      <c r="C97" s="13" t="inlineStr">
        <is>
          <t>The Collectors' Warehouse</t>
        </is>
      </c>
      <c r="D97" s="13" t="inlineStr">
        <is>
          <t>Rubell Museum</t>
        </is>
      </c>
      <c r="E97" s="13" t="inlineStr">
        <is>
          <t>Venue Logo</t>
        </is>
      </c>
      <c r="F97" s="15" t="inlineStr">
        <is>
          <t>Website</t>
        </is>
      </c>
      <c r="G97" s="15" t="inlineStr">
        <is>
          <t>Instagram</t>
        </is>
      </c>
      <c r="H97" s="12" t="inlineStr">
        <is>
          <t>Needs Sourcing</t>
        </is>
      </c>
      <c r="I97" s="16" t="n">
        <v>2</v>
      </c>
      <c r="J97" s="16" t="n">
        <v>0</v>
      </c>
      <c r="K97" s="13" t="inlineStr">
        <is>
          <t>Official Website</t>
        </is>
      </c>
      <c r="L97" s="15" t="inlineStr">
        <is>
          <t>Open Source</t>
        </is>
      </c>
      <c r="M97" s="17" t="inlineStr">
        <is>
          <t>https://rubellmuseum.org/ | https://www.instagram.com/rubellmuseum/</t>
        </is>
      </c>
      <c r="N97" s="17" t="inlineStr">
        <is>
          <t>square business logo/avatar for the circular profile image over the hero</t>
        </is>
      </c>
      <c r="O97" s="12" t="inlineStr">
        <is>
          <t>High</t>
        </is>
      </c>
    </row>
    <row r="98" ht="34" customHeight="1">
      <c r="A98" s="6" t="inlineStr">
        <is>
          <t>125eb697-a516-549b-a97c-14829ae553c7</t>
        </is>
      </c>
      <c r="B98" s="6" t="inlineStr">
        <is>
          <t>sexy-fish-brickell</t>
        </is>
      </c>
      <c r="C98" s="6" t="inlineStr">
        <is>
          <t>Something's Fishy</t>
        </is>
      </c>
      <c r="D98" s="6" t="inlineStr">
        <is>
          <t>Sexy Fish Miami</t>
        </is>
      </c>
      <c r="E98" s="6" t="inlineStr">
        <is>
          <t>Hero Image</t>
        </is>
      </c>
      <c r="F98" s="9" t="inlineStr">
        <is>
          <t>Website</t>
        </is>
      </c>
      <c r="G98" s="9" t="inlineStr">
        <is>
          <t>Instagram</t>
        </is>
      </c>
      <c r="H98" s="12" t="inlineStr">
        <is>
          <t>Needs Sourcing</t>
        </is>
      </c>
      <c r="I98" s="10" t="n">
        <v>3</v>
      </c>
      <c r="J98" s="10" t="n">
        <v>0</v>
      </c>
      <c r="K98" s="6" t="inlineStr">
        <is>
          <t>Official Website</t>
        </is>
      </c>
      <c r="L98" s="9" t="inlineStr">
        <is>
          <t>Open Source</t>
        </is>
      </c>
      <c r="M98" s="11" t="inlineStr">
        <is>
          <t>https://sexyfishmiami.com/ | https://unsplash.com/s/photos/Sexy%20Fish%20Miami%20miami | https://www.instagram.com/sexyfishmiami/</t>
        </is>
      </c>
      <c r="N98" s="11" t="inlineStr">
        <is>
          <t>authentic venue/experience photo, ≥800px wide, no generic stock</t>
        </is>
      </c>
      <c r="O98" s="12" t="inlineStr">
        <is>
          <t>High</t>
        </is>
      </c>
    </row>
    <row r="99" ht="19" customHeight="1">
      <c r="A99" s="13" t="inlineStr">
        <is>
          <t>125eb697-a516-549b-a97c-14829ae553c7</t>
        </is>
      </c>
      <c r="B99" s="13" t="inlineStr">
        <is>
          <t>sexy-fish-brickell</t>
        </is>
      </c>
      <c r="C99" s="13" t="inlineStr">
        <is>
          <t>Something's Fishy</t>
        </is>
      </c>
      <c r="D99" s="13" t="inlineStr">
        <is>
          <t>Sexy Fish Miami</t>
        </is>
      </c>
      <c r="E99" s="13" t="inlineStr">
        <is>
          <t>Venue Logo</t>
        </is>
      </c>
      <c r="F99" s="15" t="inlineStr">
        <is>
          <t>Website</t>
        </is>
      </c>
      <c r="G99" s="15" t="inlineStr">
        <is>
          <t>Instagram</t>
        </is>
      </c>
      <c r="H99" s="12" t="inlineStr">
        <is>
          <t>Needs Sourcing</t>
        </is>
      </c>
      <c r="I99" s="16" t="n">
        <v>2</v>
      </c>
      <c r="J99" s="16" t="n">
        <v>0</v>
      </c>
      <c r="K99" s="13" t="inlineStr">
        <is>
          <t>Official Website</t>
        </is>
      </c>
      <c r="L99" s="15" t="inlineStr">
        <is>
          <t>Open Source</t>
        </is>
      </c>
      <c r="M99" s="17" t="inlineStr">
        <is>
          <t>https://sexyfishmiami.com/ | https://www.instagram.com/sexyfishmiami/</t>
        </is>
      </c>
      <c r="N99" s="17" t="inlineStr">
        <is>
          <t>square business logo/avatar for the circular profile image over the hero</t>
        </is>
      </c>
      <c r="O99" s="12" t="inlineStr">
        <is>
          <t>High</t>
        </is>
      </c>
    </row>
    <row r="100" ht="49" customHeight="1">
      <c r="A100" s="6" t="inlineStr">
        <is>
          <t>a8f2d4f3-8541-55f8-9972-60574a392f48</t>
        </is>
      </c>
      <c r="B100" s="6" t="inlineStr">
        <is>
          <t>sugar-rooftop-east-miami</t>
        </is>
      </c>
      <c r="C100" s="6" t="inlineStr">
        <is>
          <t>Forty Floors Up</t>
        </is>
      </c>
      <c r="D100" s="6" t="inlineStr">
        <is>
          <t>Sugar Rooftop at EAST, Miami</t>
        </is>
      </c>
      <c r="E100" s="6" t="inlineStr">
        <is>
          <t>Hero Image</t>
        </is>
      </c>
      <c r="F100" s="9" t="inlineStr">
        <is>
          <t>Website</t>
        </is>
      </c>
      <c r="G100" s="9" t="inlineStr">
        <is>
          <t>Instagram</t>
        </is>
      </c>
      <c r="H100" s="12" t="inlineStr">
        <is>
          <t>Needs Sourcing</t>
        </is>
      </c>
      <c r="I100" s="10" t="n">
        <v>3</v>
      </c>
      <c r="J100" s="10" t="n">
        <v>0</v>
      </c>
      <c r="K100" s="6" t="inlineStr">
        <is>
          <t>Official Website</t>
        </is>
      </c>
      <c r="L100" s="9" t="inlineStr">
        <is>
          <t>Open Source</t>
        </is>
      </c>
      <c r="M100" s="11" t="inlineStr">
        <is>
          <t>https://unsplash.com/s/photos/Sugar%20Rooftop%20at%20EAST%2C%20Miami%20miami | https://www.easthotels.com/en/miami/restaurants-and-bars/sugar/ | https://www.instagram.com/sugar.rooftop/</t>
        </is>
      </c>
      <c r="N100" s="11" t="inlineStr">
        <is>
          <t>authentic venue/experience photo, ≥800px wide, no generic stock</t>
        </is>
      </c>
      <c r="O100" s="12" t="inlineStr">
        <is>
          <t>High</t>
        </is>
      </c>
    </row>
    <row r="101" ht="34" customHeight="1">
      <c r="A101" s="13" t="inlineStr">
        <is>
          <t>a8f2d4f3-8541-55f8-9972-60574a392f48</t>
        </is>
      </c>
      <c r="B101" s="13" t="inlineStr">
        <is>
          <t>sugar-rooftop-east-miami</t>
        </is>
      </c>
      <c r="C101" s="13" t="inlineStr">
        <is>
          <t>Forty Floors Up</t>
        </is>
      </c>
      <c r="D101" s="13" t="inlineStr">
        <is>
          <t>Sugar Rooftop at EAST, Miami</t>
        </is>
      </c>
      <c r="E101" s="13" t="inlineStr">
        <is>
          <t>Venue Logo</t>
        </is>
      </c>
      <c r="F101" s="15" t="inlineStr">
        <is>
          <t>Website</t>
        </is>
      </c>
      <c r="G101" s="15" t="inlineStr">
        <is>
          <t>Instagram</t>
        </is>
      </c>
      <c r="H101" s="12" t="inlineStr">
        <is>
          <t>Needs Sourcing</t>
        </is>
      </c>
      <c r="I101" s="16" t="n">
        <v>2</v>
      </c>
      <c r="J101" s="16" t="n">
        <v>0</v>
      </c>
      <c r="K101" s="13" t="inlineStr">
        <is>
          <t>Official Website</t>
        </is>
      </c>
      <c r="L101" s="15" t="inlineStr">
        <is>
          <t>Open Source</t>
        </is>
      </c>
      <c r="M101" s="17" t="inlineStr">
        <is>
          <t>https://www.easthotels.com/en/miami/restaurants-and-bars/sugar/ | https://www.instagram.com/sugar.rooftop/</t>
        </is>
      </c>
      <c r="N101" s="17" t="inlineStr">
        <is>
          <t>square business logo/avatar for the circular profile image over the hero</t>
        </is>
      </c>
      <c r="O101" s="12" t="inlineStr">
        <is>
          <t>High</t>
        </is>
      </c>
    </row>
    <row r="102" ht="34" customHeight="1">
      <c r="A102" s="6" t="inlineStr">
        <is>
          <t>7d118a13-e2cd-5075-aa27-6bfe755b95c6</t>
        </is>
      </c>
      <c r="B102" s="6" t="inlineStr">
        <is>
          <t>superblue-miami</t>
        </is>
      </c>
      <c r="C102" s="6" t="inlineStr">
        <is>
          <t>Step Inside the Art</t>
        </is>
      </c>
      <c r="D102" s="6" t="inlineStr">
        <is>
          <t>Superblue Miami</t>
        </is>
      </c>
      <c r="E102" s="6" t="inlineStr">
        <is>
          <t>Hero Image</t>
        </is>
      </c>
      <c r="F102" s="9" t="inlineStr">
        <is>
          <t>Website</t>
        </is>
      </c>
      <c r="G102" s="9" t="inlineStr">
        <is>
          <t>Instagram</t>
        </is>
      </c>
      <c r="H102" s="12" t="inlineStr">
        <is>
          <t>Needs Sourcing</t>
        </is>
      </c>
      <c r="I102" s="10" t="n">
        <v>3</v>
      </c>
      <c r="J102" s="10" t="n">
        <v>0</v>
      </c>
      <c r="K102" s="6" t="inlineStr">
        <is>
          <t>Official Website</t>
        </is>
      </c>
      <c r="L102" s="9" t="inlineStr">
        <is>
          <t>Open Source</t>
        </is>
      </c>
      <c r="M102" s="11" t="inlineStr">
        <is>
          <t>https://unsplash.com/s/photos/Superblue%20Miami%20miami | https://www.instagram.com/superbluemiami/ | https://www.superblue.com/</t>
        </is>
      </c>
      <c r="N102" s="11" t="inlineStr">
        <is>
          <t>authentic venue/experience photo, ≥800px wide, no generic stock</t>
        </is>
      </c>
      <c r="O102" s="12" t="inlineStr">
        <is>
          <t>High</t>
        </is>
      </c>
    </row>
    <row r="103" ht="19" customHeight="1">
      <c r="A103" s="13" t="inlineStr">
        <is>
          <t>7d118a13-e2cd-5075-aa27-6bfe755b95c6</t>
        </is>
      </c>
      <c r="B103" s="13" t="inlineStr">
        <is>
          <t>superblue-miami</t>
        </is>
      </c>
      <c r="C103" s="13" t="inlineStr">
        <is>
          <t>Step Inside the Art</t>
        </is>
      </c>
      <c r="D103" s="13" t="inlineStr">
        <is>
          <t>Superblue Miami</t>
        </is>
      </c>
      <c r="E103" s="13" t="inlineStr">
        <is>
          <t>Venue Logo</t>
        </is>
      </c>
      <c r="F103" s="15" t="inlineStr">
        <is>
          <t>Website</t>
        </is>
      </c>
      <c r="G103" s="15" t="inlineStr">
        <is>
          <t>Instagram</t>
        </is>
      </c>
      <c r="H103" s="12" t="inlineStr">
        <is>
          <t>Needs Sourcing</t>
        </is>
      </c>
      <c r="I103" s="16" t="n">
        <v>2</v>
      </c>
      <c r="J103" s="16" t="n">
        <v>0</v>
      </c>
      <c r="K103" s="13" t="inlineStr">
        <is>
          <t>Official Website</t>
        </is>
      </c>
      <c r="L103" s="15" t="inlineStr">
        <is>
          <t>Open Source</t>
        </is>
      </c>
      <c r="M103" s="17" t="inlineStr">
        <is>
          <t>https://www.instagram.com/superbluemiami/ | https://www.superblue.com/</t>
        </is>
      </c>
      <c r="N103" s="17" t="inlineStr">
        <is>
          <t>square business logo/avatar for the circular profile image over the hero</t>
        </is>
      </c>
      <c r="O103" s="12" t="inlineStr">
        <is>
          <t>High</t>
        </is>
      </c>
    </row>
    <row r="104" ht="34" customHeight="1">
      <c r="A104" s="6" t="inlineStr">
        <is>
          <t>8569454a-0457-5805-8b85-997b42155ed2</t>
        </is>
      </c>
      <c r="B104" s="6" t="inlineStr">
        <is>
          <t>sweat-records-little-haiti</t>
        </is>
      </c>
      <c r="C104" s="6" t="inlineStr">
        <is>
          <t>Crate Digger</t>
        </is>
      </c>
      <c r="D104" s="6" t="inlineStr">
        <is>
          <t>Sweat Records</t>
        </is>
      </c>
      <c r="E104" s="6" t="inlineStr">
        <is>
          <t>Hero Image</t>
        </is>
      </c>
      <c r="F104" s="9" t="inlineStr">
        <is>
          <t>Website</t>
        </is>
      </c>
      <c r="G104" s="9" t="inlineStr">
        <is>
          <t>Instagram</t>
        </is>
      </c>
      <c r="H104" s="12" t="inlineStr">
        <is>
          <t>Needs Sourcing</t>
        </is>
      </c>
      <c r="I104" s="10" t="n">
        <v>3</v>
      </c>
      <c r="J104" s="10" t="n">
        <v>0</v>
      </c>
      <c r="K104" s="6" t="inlineStr">
        <is>
          <t>Official Website</t>
        </is>
      </c>
      <c r="L104" s="9" t="inlineStr">
        <is>
          <t>Open Source</t>
        </is>
      </c>
      <c r="M104" s="11" t="inlineStr">
        <is>
          <t>https://unsplash.com/s/photos/Sweat%20Records%20miami | https://www.instagram.com/sweatrecords/ | https://www.sweatrecordsmiami.com/</t>
        </is>
      </c>
      <c r="N104" s="11" t="inlineStr">
        <is>
          <t>authentic venue/experience photo, ≥800px wide, no generic stock</t>
        </is>
      </c>
      <c r="O104" s="12" t="inlineStr">
        <is>
          <t>High</t>
        </is>
      </c>
    </row>
    <row r="105" ht="19" customHeight="1">
      <c r="A105" s="13" t="inlineStr">
        <is>
          <t>8569454a-0457-5805-8b85-997b42155ed2</t>
        </is>
      </c>
      <c r="B105" s="13" t="inlineStr">
        <is>
          <t>sweat-records-little-haiti</t>
        </is>
      </c>
      <c r="C105" s="13" t="inlineStr">
        <is>
          <t>Crate Digger</t>
        </is>
      </c>
      <c r="D105" s="13" t="inlineStr">
        <is>
          <t>Sweat Records</t>
        </is>
      </c>
      <c r="E105" s="13" t="inlineStr">
        <is>
          <t>Venue Logo</t>
        </is>
      </c>
      <c r="F105" s="15" t="inlineStr">
        <is>
          <t>Website</t>
        </is>
      </c>
      <c r="G105" s="15" t="inlineStr">
        <is>
          <t>Instagram</t>
        </is>
      </c>
      <c r="H105" s="12" t="inlineStr">
        <is>
          <t>Needs Sourcing</t>
        </is>
      </c>
      <c r="I105" s="16" t="n">
        <v>2</v>
      </c>
      <c r="J105" s="16" t="n">
        <v>0</v>
      </c>
      <c r="K105" s="13" t="inlineStr">
        <is>
          <t>Official Website</t>
        </is>
      </c>
      <c r="L105" s="15" t="inlineStr">
        <is>
          <t>Open Source</t>
        </is>
      </c>
      <c r="M105" s="17" t="inlineStr">
        <is>
          <t>https://www.instagram.com/sweatrecords/ | https://www.sweatrecordsmiami.com/</t>
        </is>
      </c>
      <c r="N105" s="17" t="inlineStr">
        <is>
          <t>square business logo/avatar for the circular profile image over the hero</t>
        </is>
      </c>
      <c r="O105" s="12" t="inlineStr">
        <is>
          <t>High</t>
        </is>
      </c>
    </row>
    <row r="106" ht="49" customHeight="1">
      <c r="A106" s="6" t="inlineStr">
        <is>
          <t>b1a724c6-da50-5641-90ee-4d4194c40e89</t>
        </is>
      </c>
      <c r="B106" s="6" t="inlineStr">
        <is>
          <t>tea-room-east-miami</t>
        </is>
      </c>
      <c r="C106" s="6" t="inlineStr">
        <is>
          <t>High Tea, Literally</t>
        </is>
      </c>
      <c r="D106" s="6" t="inlineStr">
        <is>
          <t>Tea Room at EAST, Miami</t>
        </is>
      </c>
      <c r="E106" s="6" t="inlineStr">
        <is>
          <t>Hero Image</t>
        </is>
      </c>
      <c r="F106" s="9" t="inlineStr">
        <is>
          <t>Website</t>
        </is>
      </c>
      <c r="G106" s="9" t="inlineStr">
        <is>
          <t>Instagram</t>
        </is>
      </c>
      <c r="H106" s="12" t="inlineStr">
        <is>
          <t>Needs Sourcing</t>
        </is>
      </c>
      <c r="I106" s="10" t="n">
        <v>3</v>
      </c>
      <c r="J106" s="10" t="n">
        <v>0</v>
      </c>
      <c r="K106" s="6" t="inlineStr">
        <is>
          <t>Official Website</t>
        </is>
      </c>
      <c r="L106" s="9" t="inlineStr">
        <is>
          <t>Open Source</t>
        </is>
      </c>
      <c r="M106" s="11" t="inlineStr">
        <is>
          <t>https://unsplash.com/s/photos/Tea%20Room%20at%20EAST%2C%20Miami%20miami | https://www.easthotels.com/en/miami/restaurants-and-bars/tea-room/ | https://www.instagram.com/tearoom.mia/</t>
        </is>
      </c>
      <c r="N106" s="11" t="inlineStr">
        <is>
          <t>authentic venue/experience photo, ≥800px wide, no generic stock</t>
        </is>
      </c>
      <c r="O106" s="12" t="inlineStr">
        <is>
          <t>High</t>
        </is>
      </c>
    </row>
    <row r="107" ht="34" customHeight="1">
      <c r="A107" s="13" t="inlineStr">
        <is>
          <t>b1a724c6-da50-5641-90ee-4d4194c40e89</t>
        </is>
      </c>
      <c r="B107" s="13" t="inlineStr">
        <is>
          <t>tea-room-east-miami</t>
        </is>
      </c>
      <c r="C107" s="13" t="inlineStr">
        <is>
          <t>High Tea, Literally</t>
        </is>
      </c>
      <c r="D107" s="13" t="inlineStr">
        <is>
          <t>Tea Room at EAST, Miami</t>
        </is>
      </c>
      <c r="E107" s="13" t="inlineStr">
        <is>
          <t>Venue Logo</t>
        </is>
      </c>
      <c r="F107" s="15" t="inlineStr">
        <is>
          <t>Website</t>
        </is>
      </c>
      <c r="G107" s="15" t="inlineStr">
        <is>
          <t>Instagram</t>
        </is>
      </c>
      <c r="H107" s="12" t="inlineStr">
        <is>
          <t>Needs Sourcing</t>
        </is>
      </c>
      <c r="I107" s="16" t="n">
        <v>2</v>
      </c>
      <c r="J107" s="16" t="n">
        <v>0</v>
      </c>
      <c r="K107" s="13" t="inlineStr">
        <is>
          <t>Official Website</t>
        </is>
      </c>
      <c r="L107" s="15" t="inlineStr">
        <is>
          <t>Open Source</t>
        </is>
      </c>
      <c r="M107" s="17" t="inlineStr">
        <is>
          <t>https://www.easthotels.com/en/miami/restaurants-and-bars/tea-room/ | https://www.instagram.com/tearoom.mia/</t>
        </is>
      </c>
      <c r="N107" s="17" t="inlineStr">
        <is>
          <t>square business logo/avatar for the circular profile image over the hero</t>
        </is>
      </c>
      <c r="O107" s="12" t="inlineStr">
        <is>
          <t>High</t>
        </is>
      </c>
    </row>
    <row r="108" ht="34" customHeight="1">
      <c r="A108" s="6" t="inlineStr">
        <is>
          <t>93a9ffe4-4e23-52b4-bb65-48ec6a292592</t>
        </is>
      </c>
      <c r="B108" s="6" t="inlineStr">
        <is>
          <t>the-bass-south-beach</t>
        </is>
      </c>
      <c r="C108" s="6" t="inlineStr">
        <is>
          <t>Bass Notes</t>
        </is>
      </c>
      <c r="D108" s="6" t="inlineStr">
        <is>
          <t>The Bass</t>
        </is>
      </c>
      <c r="E108" s="6" t="inlineStr">
        <is>
          <t>Hero Image</t>
        </is>
      </c>
      <c r="F108" s="9" t="inlineStr">
        <is>
          <t>Website</t>
        </is>
      </c>
      <c r="G108" s="9" t="inlineStr">
        <is>
          <t>Instagram</t>
        </is>
      </c>
      <c r="H108" s="12" t="inlineStr">
        <is>
          <t>Needs Sourcing</t>
        </is>
      </c>
      <c r="I108" s="10" t="n">
        <v>3</v>
      </c>
      <c r="J108" s="10" t="n">
        <v>0</v>
      </c>
      <c r="K108" s="6" t="inlineStr">
        <is>
          <t>Official Website</t>
        </is>
      </c>
      <c r="L108" s="9" t="inlineStr">
        <is>
          <t>Open Source</t>
        </is>
      </c>
      <c r="M108" s="11" t="inlineStr">
        <is>
          <t>https://thebass.org/ | https://unsplash.com/s/photos/The%20Bass%20miami | https://www.instagram.com/thebassmoa/</t>
        </is>
      </c>
      <c r="N108" s="11" t="inlineStr">
        <is>
          <t>authentic venue/experience photo, ≥800px wide, no generic stock</t>
        </is>
      </c>
      <c r="O108" s="12" t="inlineStr">
        <is>
          <t>High</t>
        </is>
      </c>
    </row>
    <row r="109" ht="19" customHeight="1">
      <c r="A109" s="13" t="inlineStr">
        <is>
          <t>93a9ffe4-4e23-52b4-bb65-48ec6a292592</t>
        </is>
      </c>
      <c r="B109" s="13" t="inlineStr">
        <is>
          <t>the-bass-south-beach</t>
        </is>
      </c>
      <c r="C109" s="13" t="inlineStr">
        <is>
          <t>Bass Notes</t>
        </is>
      </c>
      <c r="D109" s="13" t="inlineStr">
        <is>
          <t>The Bass</t>
        </is>
      </c>
      <c r="E109" s="13" t="inlineStr">
        <is>
          <t>Venue Logo</t>
        </is>
      </c>
      <c r="F109" s="15" t="inlineStr">
        <is>
          <t>Website</t>
        </is>
      </c>
      <c r="G109" s="15" t="inlineStr">
        <is>
          <t>Instagram</t>
        </is>
      </c>
      <c r="H109" s="12" t="inlineStr">
        <is>
          <t>Needs Sourcing</t>
        </is>
      </c>
      <c r="I109" s="16" t="n">
        <v>2</v>
      </c>
      <c r="J109" s="16" t="n">
        <v>0</v>
      </c>
      <c r="K109" s="13" t="inlineStr">
        <is>
          <t>Official Website</t>
        </is>
      </c>
      <c r="L109" s="15" t="inlineStr">
        <is>
          <t>Open Source</t>
        </is>
      </c>
      <c r="M109" s="17" t="inlineStr">
        <is>
          <t>https://thebass.org/ | https://www.instagram.com/thebassmoa/</t>
        </is>
      </c>
      <c r="N109" s="17" t="inlineStr">
        <is>
          <t>square business logo/avatar for the circular profile image over the hero</t>
        </is>
      </c>
      <c r="O109" s="12" t="inlineStr">
        <is>
          <t>High</t>
        </is>
      </c>
    </row>
    <row r="110" ht="34" customHeight="1">
      <c r="A110" s="6" t="inlineStr">
        <is>
          <t>bf8555e0-2c49-5b14-bba9-362bd12273e8</t>
        </is>
      </c>
      <c r="B110" s="6" t="inlineStr">
        <is>
          <t>the-corner-downtown</t>
        </is>
      </c>
      <c r="C110" s="6" t="inlineStr">
        <is>
          <t>Meet Me at The Corner</t>
        </is>
      </c>
      <c r="D110" s="6" t="inlineStr">
        <is>
          <t>The Corner</t>
        </is>
      </c>
      <c r="E110" s="6" t="inlineStr">
        <is>
          <t>Hero Image</t>
        </is>
      </c>
      <c r="F110" s="9" t="inlineStr">
        <is>
          <t>Website</t>
        </is>
      </c>
      <c r="G110" s="9" t="inlineStr">
        <is>
          <t>Instagram</t>
        </is>
      </c>
      <c r="H110" s="12" t="inlineStr">
        <is>
          <t>Needs Sourcing</t>
        </is>
      </c>
      <c r="I110" s="10" t="n">
        <v>3</v>
      </c>
      <c r="J110" s="10" t="n">
        <v>0</v>
      </c>
      <c r="K110" s="6" t="inlineStr">
        <is>
          <t>Official Website</t>
        </is>
      </c>
      <c r="L110" s="9" t="inlineStr">
        <is>
          <t>Open Source</t>
        </is>
      </c>
      <c r="M110" s="11" t="inlineStr">
        <is>
          <t>https://unsplash.com/s/photos/The%20Corner%20miami | https://www.instagram.com/thecornermiami/ | https://www.thecornermiami.com/</t>
        </is>
      </c>
      <c r="N110" s="11" t="inlineStr">
        <is>
          <t>authentic venue/experience photo, ≥800px wide, no generic stock</t>
        </is>
      </c>
      <c r="O110" s="12" t="inlineStr">
        <is>
          <t>High</t>
        </is>
      </c>
    </row>
    <row r="111" ht="19" customHeight="1">
      <c r="A111" s="13" t="inlineStr">
        <is>
          <t>bf8555e0-2c49-5b14-bba9-362bd12273e8</t>
        </is>
      </c>
      <c r="B111" s="13" t="inlineStr">
        <is>
          <t>the-corner-downtown</t>
        </is>
      </c>
      <c r="C111" s="13" t="inlineStr">
        <is>
          <t>Meet Me at The Corner</t>
        </is>
      </c>
      <c r="D111" s="13" t="inlineStr">
        <is>
          <t>The Corner</t>
        </is>
      </c>
      <c r="E111" s="13" t="inlineStr">
        <is>
          <t>Venue Logo</t>
        </is>
      </c>
      <c r="F111" s="15" t="inlineStr">
        <is>
          <t>Website</t>
        </is>
      </c>
      <c r="G111" s="15" t="inlineStr">
        <is>
          <t>Instagram</t>
        </is>
      </c>
      <c r="H111" s="12" t="inlineStr">
        <is>
          <t>Needs Sourcing</t>
        </is>
      </c>
      <c r="I111" s="16" t="n">
        <v>2</v>
      </c>
      <c r="J111" s="16" t="n">
        <v>0</v>
      </c>
      <c r="K111" s="13" t="inlineStr">
        <is>
          <t>Official Website</t>
        </is>
      </c>
      <c r="L111" s="15" t="inlineStr">
        <is>
          <t>Open Source</t>
        </is>
      </c>
      <c r="M111" s="17" t="inlineStr">
        <is>
          <t>https://www.instagram.com/thecornermiami/ | https://www.thecornermiami.com/</t>
        </is>
      </c>
      <c r="N111" s="17" t="inlineStr">
        <is>
          <t>square business logo/avatar for the circular profile image over the hero</t>
        </is>
      </c>
      <c r="O111" s="12" t="inlineStr">
        <is>
          <t>High</t>
        </is>
      </c>
    </row>
    <row r="112" ht="34" customHeight="1">
      <c r="A112" s="6" t="inlineStr">
        <is>
          <t>517557a0-c5f4-5b89-8dae-0846ab1831d4</t>
        </is>
      </c>
      <c r="B112" s="6" t="inlineStr">
        <is>
          <t>the-kampong-coconut-grove</t>
        </is>
      </c>
      <c r="C112" s="6" t="inlineStr">
        <is>
          <t>The Secret Garden of the Grove</t>
        </is>
      </c>
      <c r="D112" s="6" t="inlineStr">
        <is>
          <t>The Kampong (National Tropical Botanical Garden)</t>
        </is>
      </c>
      <c r="E112" s="6" t="inlineStr">
        <is>
          <t>Hero Image</t>
        </is>
      </c>
      <c r="F112" s="9" t="inlineStr">
        <is>
          <t>Website</t>
        </is>
      </c>
      <c r="G112" s="9" t="inlineStr">
        <is>
          <t>Instagram</t>
        </is>
      </c>
      <c r="H112" s="12" t="inlineStr">
        <is>
          <t>Needs Sourcing</t>
        </is>
      </c>
      <c r="I112" s="10" t="n">
        <v>3</v>
      </c>
      <c r="J112" s="10" t="n">
        <v>0</v>
      </c>
      <c r="K112" s="6" t="inlineStr">
        <is>
          <t>Official Website</t>
        </is>
      </c>
      <c r="L112" s="9" t="inlineStr">
        <is>
          <t>Open Source</t>
        </is>
      </c>
      <c r="M112" s="11" t="inlineStr">
        <is>
          <t>https://ntbg.org/gardens/kampong/ | https://unsplash.com/s/photos/The%20Kampong%20(National%20Tropical%20Botanical%20Garden)%20miami | https://www.instagram.com/thekampong/</t>
        </is>
      </c>
      <c r="N112" s="11" t="inlineStr">
        <is>
          <t>authentic venue/experience photo, ≥800px wide, no generic stock</t>
        </is>
      </c>
      <c r="O112" s="12" t="inlineStr">
        <is>
          <t>High</t>
        </is>
      </c>
    </row>
    <row r="113" ht="19" customHeight="1">
      <c r="A113" s="13" t="inlineStr">
        <is>
          <t>517557a0-c5f4-5b89-8dae-0846ab1831d4</t>
        </is>
      </c>
      <c r="B113" s="13" t="inlineStr">
        <is>
          <t>the-kampong-coconut-grove</t>
        </is>
      </c>
      <c r="C113" s="13" t="inlineStr">
        <is>
          <t>The Secret Garden of the Grove</t>
        </is>
      </c>
      <c r="D113" s="13" t="inlineStr">
        <is>
          <t>The Kampong (National Tropical Botanical Garden)</t>
        </is>
      </c>
      <c r="E113" s="13" t="inlineStr">
        <is>
          <t>Venue Logo</t>
        </is>
      </c>
      <c r="F113" s="15" t="inlineStr">
        <is>
          <t>Website</t>
        </is>
      </c>
      <c r="G113" s="15" t="inlineStr">
        <is>
          <t>Instagram</t>
        </is>
      </c>
      <c r="H113" s="12" t="inlineStr">
        <is>
          <t>Needs Sourcing</t>
        </is>
      </c>
      <c r="I113" s="16" t="n">
        <v>2</v>
      </c>
      <c r="J113" s="16" t="n">
        <v>0</v>
      </c>
      <c r="K113" s="13" t="inlineStr">
        <is>
          <t>Official Website</t>
        </is>
      </c>
      <c r="L113" s="15" t="inlineStr">
        <is>
          <t>Open Source</t>
        </is>
      </c>
      <c r="M113" s="17" t="inlineStr">
        <is>
          <t>https://ntbg.org/gardens/kampong/ | https://www.instagram.com/thekampong/</t>
        </is>
      </c>
      <c r="N113" s="17" t="inlineStr">
        <is>
          <t>square business logo/avatar for the circular profile image over the hero</t>
        </is>
      </c>
      <c r="O113" s="12" t="inlineStr">
        <is>
          <t>High</t>
        </is>
      </c>
    </row>
    <row r="114" ht="34" customHeight="1">
      <c r="A114" s="6" t="inlineStr">
        <is>
          <t>21902b20-b34e-5308-9fdb-7868829a3497</t>
        </is>
      </c>
      <c r="B114" s="6" t="inlineStr">
        <is>
          <t>salty-donut-wynwood</t>
        </is>
      </c>
      <c r="C114" s="6" t="inlineStr">
        <is>
          <t>Donuts, Coffee, Vibes</t>
        </is>
      </c>
      <c r="D114" s="6" t="inlineStr">
        <is>
          <t>The Salty Donut - Wynwood</t>
        </is>
      </c>
      <c r="E114" s="6" t="inlineStr">
        <is>
          <t>Hero Image</t>
        </is>
      </c>
      <c r="F114" s="9" t="inlineStr">
        <is>
          <t>Website</t>
        </is>
      </c>
      <c r="G114" s="9" t="inlineStr">
        <is>
          <t>Instagram</t>
        </is>
      </c>
      <c r="H114" s="12" t="inlineStr">
        <is>
          <t>Needs Sourcing</t>
        </is>
      </c>
      <c r="I114" s="10" t="n">
        <v>3</v>
      </c>
      <c r="J114" s="10" t="n">
        <v>0</v>
      </c>
      <c r="K114" s="6" t="inlineStr">
        <is>
          <t>Official Website</t>
        </is>
      </c>
      <c r="L114" s="9" t="inlineStr">
        <is>
          <t>Open Source</t>
        </is>
      </c>
      <c r="M114" s="11" t="inlineStr">
        <is>
          <t>https://unsplash.com/s/photos/The%20Salty%20Donut%20-%20Wynwood%20miami | https://www.instagram.com/thesaltydonut/ | https://www.saltydonut.com/locations/wynwood</t>
        </is>
      </c>
      <c r="N114" s="11" t="inlineStr">
        <is>
          <t>authentic venue/experience photo, ≥800px wide, no generic stock</t>
        </is>
      </c>
      <c r="O114" s="12" t="inlineStr">
        <is>
          <t>High</t>
        </is>
      </c>
    </row>
    <row r="115" ht="19" customHeight="1">
      <c r="A115" s="13" t="inlineStr">
        <is>
          <t>21902b20-b34e-5308-9fdb-7868829a3497</t>
        </is>
      </c>
      <c r="B115" s="13" t="inlineStr">
        <is>
          <t>salty-donut-wynwood</t>
        </is>
      </c>
      <c r="C115" s="13" t="inlineStr">
        <is>
          <t>Donuts, Coffee, Vibes</t>
        </is>
      </c>
      <c r="D115" s="13" t="inlineStr">
        <is>
          <t>The Salty Donut - Wynwood</t>
        </is>
      </c>
      <c r="E115" s="13" t="inlineStr">
        <is>
          <t>Venue Logo</t>
        </is>
      </c>
      <c r="F115" s="15" t="inlineStr">
        <is>
          <t>Website</t>
        </is>
      </c>
      <c r="G115" s="15" t="inlineStr">
        <is>
          <t>Instagram</t>
        </is>
      </c>
      <c r="H115" s="12" t="inlineStr">
        <is>
          <t>Needs Sourcing</t>
        </is>
      </c>
      <c r="I115" s="16" t="n">
        <v>2</v>
      </c>
      <c r="J115" s="16" t="n">
        <v>0</v>
      </c>
      <c r="K115" s="13" t="inlineStr">
        <is>
          <t>Official Website</t>
        </is>
      </c>
      <c r="L115" s="15" t="inlineStr">
        <is>
          <t>Open Source</t>
        </is>
      </c>
      <c r="M115" s="17" t="inlineStr">
        <is>
          <t>https://www.instagram.com/thesaltydonut/ | https://www.saltydonut.com/locations/wynwood</t>
        </is>
      </c>
      <c r="N115" s="17" t="inlineStr">
        <is>
          <t>square business logo/avatar for the circular profile image over the hero</t>
        </is>
      </c>
      <c r="O115" s="12" t="inlineStr">
        <is>
          <t>High</t>
        </is>
      </c>
    </row>
    <row r="116" ht="49" customHeight="1">
      <c r="A116" s="6" t="inlineStr">
        <is>
          <t>5a677ae0-ca95-55d4-9795-13c09141303a</t>
        </is>
      </c>
      <c r="B116" s="6" t="inlineStr">
        <is>
          <t>standard-spa-miami-beach</t>
        </is>
      </c>
      <c r="C116" s="6" t="inlineStr">
        <is>
          <t>Island of Calm</t>
        </is>
      </c>
      <c r="D116" s="6" t="inlineStr">
        <is>
          <t>The Standard Spa, Miami Beach</t>
        </is>
      </c>
      <c r="E116" s="6" t="inlineStr">
        <is>
          <t>Hero Image</t>
        </is>
      </c>
      <c r="F116" s="9" t="inlineStr">
        <is>
          <t>Website</t>
        </is>
      </c>
      <c r="G116" s="9" t="inlineStr">
        <is>
          <t>Instagram</t>
        </is>
      </c>
      <c r="H116" s="12" t="inlineStr">
        <is>
          <t>Needs Sourcing</t>
        </is>
      </c>
      <c r="I116" s="10" t="n">
        <v>3</v>
      </c>
      <c r="J116" s="10" t="n">
        <v>0</v>
      </c>
      <c r="K116" s="6" t="inlineStr">
        <is>
          <t>Official Website</t>
        </is>
      </c>
      <c r="L116" s="9" t="inlineStr">
        <is>
          <t>Open Source</t>
        </is>
      </c>
      <c r="M116" s="11" t="inlineStr">
        <is>
          <t>https://unsplash.com/s/photos/The%20Standard%20Spa%2C%20Miami%20Beach%20miami | https://www.instagram.com/thestandardmiami/ | https://www.standardhotels.com/miami/properties/miami-beach</t>
        </is>
      </c>
      <c r="N116" s="11" t="inlineStr">
        <is>
          <t>authentic venue/experience photo, ≥800px wide, no generic stock</t>
        </is>
      </c>
      <c r="O116" s="12" t="inlineStr">
        <is>
          <t>High</t>
        </is>
      </c>
    </row>
    <row r="117" ht="34" customHeight="1">
      <c r="A117" s="13" t="inlineStr">
        <is>
          <t>5a677ae0-ca95-55d4-9795-13c09141303a</t>
        </is>
      </c>
      <c r="B117" s="13" t="inlineStr">
        <is>
          <t>standard-spa-miami-beach</t>
        </is>
      </c>
      <c r="C117" s="13" t="inlineStr">
        <is>
          <t>Island of Calm</t>
        </is>
      </c>
      <c r="D117" s="13" t="inlineStr">
        <is>
          <t>The Standard Spa, Miami Beach</t>
        </is>
      </c>
      <c r="E117" s="13" t="inlineStr">
        <is>
          <t>Venue Logo</t>
        </is>
      </c>
      <c r="F117" s="15" t="inlineStr">
        <is>
          <t>Website</t>
        </is>
      </c>
      <c r="G117" s="15" t="inlineStr">
        <is>
          <t>Instagram</t>
        </is>
      </c>
      <c r="H117" s="12" t="inlineStr">
        <is>
          <t>Needs Sourcing</t>
        </is>
      </c>
      <c r="I117" s="16" t="n">
        <v>2</v>
      </c>
      <c r="J117" s="16" t="n">
        <v>0</v>
      </c>
      <c r="K117" s="13" t="inlineStr">
        <is>
          <t>Official Website</t>
        </is>
      </c>
      <c r="L117" s="15" t="inlineStr">
        <is>
          <t>Open Source</t>
        </is>
      </c>
      <c r="M117" s="17" t="inlineStr">
        <is>
          <t>https://www.instagram.com/thestandardmiami/ | https://www.standardhotels.com/miami/properties/miami-beach</t>
        </is>
      </c>
      <c r="N117" s="17" t="inlineStr">
        <is>
          <t>square business logo/avatar for the circular profile image over the hero</t>
        </is>
      </c>
      <c r="O117" s="12" t="inlineStr">
        <is>
          <t>High</t>
        </is>
      </c>
    </row>
    <row r="118" ht="34" customHeight="1">
      <c r="A118" s="6" t="inlineStr">
        <is>
          <t>f0fcafb0-90d7-54aa-84e4-1532ed7f1801</t>
        </is>
      </c>
      <c r="B118" s="6" t="inlineStr">
        <is>
          <t>temple-house-south-beach</t>
        </is>
      </c>
      <c r="C118" s="6" t="inlineStr">
        <is>
          <t>Deco in Disguise</t>
        </is>
      </c>
      <c r="D118" s="6" t="inlineStr">
        <is>
          <t>The Temple House</t>
        </is>
      </c>
      <c r="E118" s="6" t="inlineStr">
        <is>
          <t>Hero Image</t>
        </is>
      </c>
      <c r="F118" s="9" t="inlineStr">
        <is>
          <t>Website</t>
        </is>
      </c>
      <c r="G118" s="9" t="inlineStr">
        <is>
          <t>Instagram</t>
        </is>
      </c>
      <c r="H118" s="12" t="inlineStr">
        <is>
          <t>Needs Sourcing</t>
        </is>
      </c>
      <c r="I118" s="10" t="n">
        <v>3</v>
      </c>
      <c r="J118" s="10" t="n">
        <v>0</v>
      </c>
      <c r="K118" s="6" t="inlineStr">
        <is>
          <t>Official Website</t>
        </is>
      </c>
      <c r="L118" s="9" t="inlineStr">
        <is>
          <t>Open Source</t>
        </is>
      </c>
      <c r="M118" s="11" t="inlineStr">
        <is>
          <t>https://thetemplehouse.com/ | https://unsplash.com/s/photos/The%20Temple%20House%20miami | https://www.instagram.com/thetemplehouse/</t>
        </is>
      </c>
      <c r="N118" s="11" t="inlineStr">
        <is>
          <t>authentic venue/experience photo, ≥800px wide, no generic stock</t>
        </is>
      </c>
      <c r="O118" s="12" t="inlineStr">
        <is>
          <t>High</t>
        </is>
      </c>
    </row>
    <row r="119" ht="19" customHeight="1">
      <c r="A119" s="13" t="inlineStr">
        <is>
          <t>f0fcafb0-90d7-54aa-84e4-1532ed7f1801</t>
        </is>
      </c>
      <c r="B119" s="13" t="inlineStr">
        <is>
          <t>temple-house-south-beach</t>
        </is>
      </c>
      <c r="C119" s="13" t="inlineStr">
        <is>
          <t>Deco in Disguise</t>
        </is>
      </c>
      <c r="D119" s="13" t="inlineStr">
        <is>
          <t>The Temple House</t>
        </is>
      </c>
      <c r="E119" s="13" t="inlineStr">
        <is>
          <t>Venue Logo</t>
        </is>
      </c>
      <c r="F119" s="15" t="inlineStr">
        <is>
          <t>Website</t>
        </is>
      </c>
      <c r="G119" s="15" t="inlineStr">
        <is>
          <t>Instagram</t>
        </is>
      </c>
      <c r="H119" s="12" t="inlineStr">
        <is>
          <t>Needs Sourcing</t>
        </is>
      </c>
      <c r="I119" s="16" t="n">
        <v>2</v>
      </c>
      <c r="J119" s="16" t="n">
        <v>0</v>
      </c>
      <c r="K119" s="13" t="inlineStr">
        <is>
          <t>Official Website</t>
        </is>
      </c>
      <c r="L119" s="15" t="inlineStr">
        <is>
          <t>Open Source</t>
        </is>
      </c>
      <c r="M119" s="17" t="inlineStr">
        <is>
          <t>https://thetemplehouse.com/ | https://www.instagram.com/thetemplehouse/</t>
        </is>
      </c>
      <c r="N119" s="17" t="inlineStr">
        <is>
          <t>square business logo/avatar for the circular profile image over the hero</t>
        </is>
      </c>
      <c r="O119" s="12" t="inlineStr">
        <is>
          <t>High</t>
        </is>
      </c>
    </row>
    <row r="120" ht="34" customHeight="1">
      <c r="A120" s="6" t="inlineStr">
        <is>
          <t>75761f77-6be2-5a33-b815-582044bc20c8</t>
        </is>
      </c>
      <c r="B120" s="6" t="inlineStr">
        <is>
          <t>threefold-cafe-coral-gables</t>
        </is>
      </c>
      <c r="C120" s="6" t="inlineStr">
        <is>
          <t>Down Under on Giralda</t>
        </is>
      </c>
      <c r="D120" s="6" t="inlineStr">
        <is>
          <t>Threefold Cafe</t>
        </is>
      </c>
      <c r="E120" s="6" t="inlineStr">
        <is>
          <t>Hero Image</t>
        </is>
      </c>
      <c r="F120" s="9" t="inlineStr">
        <is>
          <t>Website</t>
        </is>
      </c>
      <c r="G120" s="9" t="inlineStr">
        <is>
          <t>Instagram</t>
        </is>
      </c>
      <c r="H120" s="12" t="inlineStr">
        <is>
          <t>Needs Sourcing</t>
        </is>
      </c>
      <c r="I120" s="10" t="n">
        <v>3</v>
      </c>
      <c r="J120" s="10" t="n">
        <v>0</v>
      </c>
      <c r="K120" s="6" t="inlineStr">
        <is>
          <t>Official Website</t>
        </is>
      </c>
      <c r="L120" s="9" t="inlineStr">
        <is>
          <t>Open Source</t>
        </is>
      </c>
      <c r="M120" s="11" t="inlineStr">
        <is>
          <t>https://unsplash.com/s/photos/Threefold%20Cafe%20miami | https://www.instagram.com/threefoldcafe/ | https://www.threefoldcafe.com/</t>
        </is>
      </c>
      <c r="N120" s="11" t="inlineStr">
        <is>
          <t>authentic venue/experience photo, ≥800px wide, no generic stock</t>
        </is>
      </c>
      <c r="O120" s="12" t="inlineStr">
        <is>
          <t>High</t>
        </is>
      </c>
    </row>
    <row r="121" ht="19" customHeight="1">
      <c r="A121" s="13" t="inlineStr">
        <is>
          <t>75761f77-6be2-5a33-b815-582044bc20c8</t>
        </is>
      </c>
      <c r="B121" s="13" t="inlineStr">
        <is>
          <t>threefold-cafe-coral-gables</t>
        </is>
      </c>
      <c r="C121" s="13" t="inlineStr">
        <is>
          <t>Down Under on Giralda</t>
        </is>
      </c>
      <c r="D121" s="13" t="inlineStr">
        <is>
          <t>Threefold Cafe</t>
        </is>
      </c>
      <c r="E121" s="13" t="inlineStr">
        <is>
          <t>Venue Logo</t>
        </is>
      </c>
      <c r="F121" s="15" t="inlineStr">
        <is>
          <t>Website</t>
        </is>
      </c>
      <c r="G121" s="15" t="inlineStr">
        <is>
          <t>Instagram</t>
        </is>
      </c>
      <c r="H121" s="12" t="inlineStr">
        <is>
          <t>Needs Sourcing</t>
        </is>
      </c>
      <c r="I121" s="16" t="n">
        <v>2</v>
      </c>
      <c r="J121" s="16" t="n">
        <v>0</v>
      </c>
      <c r="K121" s="13" t="inlineStr">
        <is>
          <t>Official Website</t>
        </is>
      </c>
      <c r="L121" s="15" t="inlineStr">
        <is>
          <t>Open Source</t>
        </is>
      </c>
      <c r="M121" s="17" t="inlineStr">
        <is>
          <t>https://www.instagram.com/threefoldcafe/ | https://www.threefoldcafe.com/</t>
        </is>
      </c>
      <c r="N121" s="17" t="inlineStr">
        <is>
          <t>square business logo/avatar for the circular profile image over the hero</t>
        </is>
      </c>
      <c r="O121" s="12" t="inlineStr">
        <is>
          <t>High</t>
        </is>
      </c>
    </row>
    <row r="122" ht="34" customHeight="1">
      <c r="A122" s="6" t="inlineStr">
        <is>
          <t>f8a566ab-ff32-5de0-ad1a-7230416f3f8b</t>
        </is>
      </c>
      <c r="B122" s="6" t="inlineStr">
        <is>
          <t>under-the-mango-tree-sofi</t>
        </is>
      </c>
      <c r="C122" s="6" t="inlineStr">
        <is>
          <t>Mango State of Mind</t>
        </is>
      </c>
      <c r="D122" s="6" t="inlineStr">
        <is>
          <t>Under the Mango Tree</t>
        </is>
      </c>
      <c r="E122" s="6" t="inlineStr">
        <is>
          <t>Hero Image</t>
        </is>
      </c>
      <c r="F122" s="9" t="inlineStr">
        <is>
          <t>Website</t>
        </is>
      </c>
      <c r="G122" s="9" t="inlineStr">
        <is>
          <t>Instagram</t>
        </is>
      </c>
      <c r="H122" s="12" t="inlineStr">
        <is>
          <t>Needs Sourcing</t>
        </is>
      </c>
      <c r="I122" s="10" t="n">
        <v>3</v>
      </c>
      <c r="J122" s="10" t="n">
        <v>0</v>
      </c>
      <c r="K122" s="6" t="inlineStr">
        <is>
          <t>Official Website</t>
        </is>
      </c>
      <c r="L122" s="9" t="inlineStr">
        <is>
          <t>Open Source</t>
        </is>
      </c>
      <c r="M122" s="11" t="inlineStr">
        <is>
          <t>https://unsplash.com/s/photos/Under%20the%20Mango%20Tree%20miami | https://www.instagram.com/underthemangotreemiami/ | https://www.mangotreemiami.com/</t>
        </is>
      </c>
      <c r="N122" s="11" t="inlineStr">
        <is>
          <t>authentic venue/experience photo, ≥800px wide, no generic stock</t>
        </is>
      </c>
      <c r="O122" s="12" t="inlineStr">
        <is>
          <t>High</t>
        </is>
      </c>
    </row>
    <row r="123" ht="19" customHeight="1">
      <c r="A123" s="13" t="inlineStr">
        <is>
          <t>f8a566ab-ff32-5de0-ad1a-7230416f3f8b</t>
        </is>
      </c>
      <c r="B123" s="13" t="inlineStr">
        <is>
          <t>under-the-mango-tree-sofi</t>
        </is>
      </c>
      <c r="C123" s="13" t="inlineStr">
        <is>
          <t>Mango State of Mind</t>
        </is>
      </c>
      <c r="D123" s="13" t="inlineStr">
        <is>
          <t>Under the Mango Tree</t>
        </is>
      </c>
      <c r="E123" s="13" t="inlineStr">
        <is>
          <t>Venue Logo</t>
        </is>
      </c>
      <c r="F123" s="15" t="inlineStr">
        <is>
          <t>Website</t>
        </is>
      </c>
      <c r="G123" s="15" t="inlineStr">
        <is>
          <t>Instagram</t>
        </is>
      </c>
      <c r="H123" s="12" t="inlineStr">
        <is>
          <t>Needs Sourcing</t>
        </is>
      </c>
      <c r="I123" s="16" t="n">
        <v>2</v>
      </c>
      <c r="J123" s="16" t="n">
        <v>0</v>
      </c>
      <c r="K123" s="13" t="inlineStr">
        <is>
          <t>Official Website</t>
        </is>
      </c>
      <c r="L123" s="15" t="inlineStr">
        <is>
          <t>Open Source</t>
        </is>
      </c>
      <c r="M123" s="17" t="inlineStr">
        <is>
          <t>https://www.instagram.com/underthemangotreemiami/ | https://www.mangotreemiami.com/</t>
        </is>
      </c>
      <c r="N123" s="17" t="inlineStr">
        <is>
          <t>square business logo/avatar for the circular profile image over the hero</t>
        </is>
      </c>
      <c r="O123" s="12" t="inlineStr">
        <is>
          <t>High</t>
        </is>
      </c>
    </row>
    <row r="124" ht="34" customHeight="1">
      <c r="A124" s="6" t="inlineStr">
        <is>
          <t>966b0064-6c61-58b2-8e49-73807184982d</t>
        </is>
      </c>
      <c r="B124" s="6" t="inlineStr">
        <is>
          <t>vice-city-bean-edgewater</t>
        </is>
      </c>
      <c r="C124" s="6" t="inlineStr">
        <is>
          <t>Flagship of Vice City</t>
        </is>
      </c>
      <c r="D124" s="6" t="inlineStr">
        <is>
          <t>Vice City Bean</t>
        </is>
      </c>
      <c r="E124" s="6" t="inlineStr">
        <is>
          <t>Hero Image</t>
        </is>
      </c>
      <c r="F124" s="9" t="inlineStr">
        <is>
          <t>Website</t>
        </is>
      </c>
      <c r="G124" s="9" t="inlineStr">
        <is>
          <t>Instagram</t>
        </is>
      </c>
      <c r="H124" s="12" t="inlineStr">
        <is>
          <t>Needs Sourcing</t>
        </is>
      </c>
      <c r="I124" s="10" t="n">
        <v>3</v>
      </c>
      <c r="J124" s="10" t="n">
        <v>0</v>
      </c>
      <c r="K124" s="6" t="inlineStr">
        <is>
          <t>Official Website</t>
        </is>
      </c>
      <c r="L124" s="9" t="inlineStr">
        <is>
          <t>Open Source</t>
        </is>
      </c>
      <c r="M124" s="11" t="inlineStr">
        <is>
          <t>https://unsplash.com/s/photos/Vice%20City%20Bean%20miami | https://vicecitybean.com/ | https://www.instagram.com/vicecitybean/</t>
        </is>
      </c>
      <c r="N124" s="11" t="inlineStr">
        <is>
          <t>authentic venue/experience photo, ≥800px wide, no generic stock</t>
        </is>
      </c>
      <c r="O124" s="12" t="inlineStr">
        <is>
          <t>High</t>
        </is>
      </c>
    </row>
    <row r="125" ht="19" customHeight="1">
      <c r="A125" s="13" t="inlineStr">
        <is>
          <t>966b0064-6c61-58b2-8e49-73807184982d</t>
        </is>
      </c>
      <c r="B125" s="13" t="inlineStr">
        <is>
          <t>vice-city-bean-edgewater</t>
        </is>
      </c>
      <c r="C125" s="13" t="inlineStr">
        <is>
          <t>Flagship of Vice City</t>
        </is>
      </c>
      <c r="D125" s="13" t="inlineStr">
        <is>
          <t>Vice City Bean</t>
        </is>
      </c>
      <c r="E125" s="13" t="inlineStr">
        <is>
          <t>Venue Logo</t>
        </is>
      </c>
      <c r="F125" s="15" t="inlineStr">
        <is>
          <t>Website</t>
        </is>
      </c>
      <c r="G125" s="15" t="inlineStr">
        <is>
          <t>Instagram</t>
        </is>
      </c>
      <c r="H125" s="12" t="inlineStr">
        <is>
          <t>Needs Sourcing</t>
        </is>
      </c>
      <c r="I125" s="16" t="n">
        <v>2</v>
      </c>
      <c r="J125" s="16" t="n">
        <v>0</v>
      </c>
      <c r="K125" s="13" t="inlineStr">
        <is>
          <t>Official Website</t>
        </is>
      </c>
      <c r="L125" s="15" t="inlineStr">
        <is>
          <t>Open Source</t>
        </is>
      </c>
      <c r="M125" s="17" t="inlineStr">
        <is>
          <t>https://vicecitybean.com/ | https://www.instagram.com/vicecitybean/</t>
        </is>
      </c>
      <c r="N125" s="17" t="inlineStr">
        <is>
          <t>square business logo/avatar for the circular profile image over the hero</t>
        </is>
      </c>
      <c r="O125" s="12" t="inlineStr">
        <is>
          <t>High</t>
        </is>
      </c>
    </row>
    <row r="126" ht="34" customHeight="1">
      <c r="A126" s="6" t="inlineStr">
        <is>
          <t>2ef644f5-f352-5856-a454-47070ed877f8</t>
        </is>
      </c>
      <c r="B126" s="6" t="inlineStr">
        <is>
          <t>wynwood-walls</t>
        </is>
      </c>
      <c r="C126" s="6" t="inlineStr">
        <is>
          <t>Walls That Talk</t>
        </is>
      </c>
      <c r="D126" s="6" t="inlineStr">
        <is>
          <t>Wynwood Walls</t>
        </is>
      </c>
      <c r="E126" s="6" t="inlineStr">
        <is>
          <t>Hero Image</t>
        </is>
      </c>
      <c r="F126" s="9" t="inlineStr">
        <is>
          <t>Website</t>
        </is>
      </c>
      <c r="G126" s="9" t="inlineStr">
        <is>
          <t>Instagram</t>
        </is>
      </c>
      <c r="H126" s="12" t="inlineStr">
        <is>
          <t>Needs Sourcing</t>
        </is>
      </c>
      <c r="I126" s="10" t="n">
        <v>3</v>
      </c>
      <c r="J126" s="10" t="n">
        <v>0</v>
      </c>
      <c r="K126" s="6" t="inlineStr">
        <is>
          <t>Official Website</t>
        </is>
      </c>
      <c r="L126" s="9" t="inlineStr">
        <is>
          <t>Open Source</t>
        </is>
      </c>
      <c r="M126" s="11" t="inlineStr">
        <is>
          <t>https://thewynwoodwalls.com/ | https://unsplash.com/s/photos/Wynwood%20Walls%20miami | https://www.instagram.com/wynwoodwallsofficial/</t>
        </is>
      </c>
      <c r="N126" s="11" t="inlineStr">
        <is>
          <t>authentic venue/experience photo, ≥800px wide, no generic stock</t>
        </is>
      </c>
      <c r="O126" s="12" t="inlineStr">
        <is>
          <t>High</t>
        </is>
      </c>
    </row>
    <row r="127" ht="19" customHeight="1">
      <c r="A127" s="13" t="inlineStr">
        <is>
          <t>2ef644f5-f352-5856-a454-47070ed877f8</t>
        </is>
      </c>
      <c r="B127" s="13" t="inlineStr">
        <is>
          <t>wynwood-walls</t>
        </is>
      </c>
      <c r="C127" s="13" t="inlineStr">
        <is>
          <t>Walls That Talk</t>
        </is>
      </c>
      <c r="D127" s="13" t="inlineStr">
        <is>
          <t>Wynwood Walls</t>
        </is>
      </c>
      <c r="E127" s="13" t="inlineStr">
        <is>
          <t>Venue Logo</t>
        </is>
      </c>
      <c r="F127" s="15" t="inlineStr">
        <is>
          <t>Website</t>
        </is>
      </c>
      <c r="G127" s="15" t="inlineStr">
        <is>
          <t>Instagram</t>
        </is>
      </c>
      <c r="H127" s="12" t="inlineStr">
        <is>
          <t>Needs Sourcing</t>
        </is>
      </c>
      <c r="I127" s="16" t="n">
        <v>2</v>
      </c>
      <c r="J127" s="16" t="n">
        <v>0</v>
      </c>
      <c r="K127" s="13" t="inlineStr">
        <is>
          <t>Official Website</t>
        </is>
      </c>
      <c r="L127" s="15" t="inlineStr">
        <is>
          <t>Open Source</t>
        </is>
      </c>
      <c r="M127" s="17" t="inlineStr">
        <is>
          <t>https://thewynwoodwalls.com/ | https://www.instagram.com/wynwoodwallsofficial/</t>
        </is>
      </c>
      <c r="N127" s="17" t="inlineStr">
        <is>
          <t>square business logo/avatar for the circular profile image over the hero</t>
        </is>
      </c>
      <c r="O127" s="12" t="inlineStr">
        <is>
          <t>High</t>
        </is>
      </c>
    </row>
  </sheetData>
  <autoFilter ref="A3:O127"/>
  <hyperlinks>
    <hyperlink xmlns:r="http://schemas.openxmlformats.org/officeDocument/2006/relationships" ref="F4" r:id="rId1"/>
    <hyperlink xmlns:r="http://schemas.openxmlformats.org/officeDocument/2006/relationships" ref="G4" r:id="rId2"/>
    <hyperlink xmlns:r="http://schemas.openxmlformats.org/officeDocument/2006/relationships" ref="L4" r:id="rId3"/>
    <hyperlink xmlns:r="http://schemas.openxmlformats.org/officeDocument/2006/relationships" ref="F5" r:id="rId4"/>
    <hyperlink xmlns:r="http://schemas.openxmlformats.org/officeDocument/2006/relationships" ref="G5" r:id="rId5"/>
    <hyperlink xmlns:r="http://schemas.openxmlformats.org/officeDocument/2006/relationships" ref="L5" r:id="rId6"/>
    <hyperlink xmlns:r="http://schemas.openxmlformats.org/officeDocument/2006/relationships" ref="F6" r:id="rId7"/>
    <hyperlink xmlns:r="http://schemas.openxmlformats.org/officeDocument/2006/relationships" ref="G6" r:id="rId8"/>
    <hyperlink xmlns:r="http://schemas.openxmlformats.org/officeDocument/2006/relationships" ref="L6" r:id="rId9"/>
    <hyperlink xmlns:r="http://schemas.openxmlformats.org/officeDocument/2006/relationships" ref="F7" r:id="rId10"/>
    <hyperlink xmlns:r="http://schemas.openxmlformats.org/officeDocument/2006/relationships" ref="G7" r:id="rId11"/>
    <hyperlink xmlns:r="http://schemas.openxmlformats.org/officeDocument/2006/relationships" ref="L7" r:id="rId12"/>
    <hyperlink xmlns:r="http://schemas.openxmlformats.org/officeDocument/2006/relationships" ref="F8" r:id="rId13"/>
    <hyperlink xmlns:r="http://schemas.openxmlformats.org/officeDocument/2006/relationships" ref="G8" r:id="rId14"/>
    <hyperlink xmlns:r="http://schemas.openxmlformats.org/officeDocument/2006/relationships" ref="L8" r:id="rId15"/>
    <hyperlink xmlns:r="http://schemas.openxmlformats.org/officeDocument/2006/relationships" ref="F9" r:id="rId16"/>
    <hyperlink xmlns:r="http://schemas.openxmlformats.org/officeDocument/2006/relationships" ref="G9" r:id="rId17"/>
    <hyperlink xmlns:r="http://schemas.openxmlformats.org/officeDocument/2006/relationships" ref="L9" r:id="rId18"/>
    <hyperlink xmlns:r="http://schemas.openxmlformats.org/officeDocument/2006/relationships" ref="F10" r:id="rId19"/>
    <hyperlink xmlns:r="http://schemas.openxmlformats.org/officeDocument/2006/relationships" ref="G10" r:id="rId20"/>
    <hyperlink xmlns:r="http://schemas.openxmlformats.org/officeDocument/2006/relationships" ref="L10" r:id="rId21"/>
    <hyperlink xmlns:r="http://schemas.openxmlformats.org/officeDocument/2006/relationships" ref="F11" r:id="rId22"/>
    <hyperlink xmlns:r="http://schemas.openxmlformats.org/officeDocument/2006/relationships" ref="G11" r:id="rId23"/>
    <hyperlink xmlns:r="http://schemas.openxmlformats.org/officeDocument/2006/relationships" ref="L11" r:id="rId24"/>
    <hyperlink xmlns:r="http://schemas.openxmlformats.org/officeDocument/2006/relationships" ref="F12" r:id="rId25"/>
    <hyperlink xmlns:r="http://schemas.openxmlformats.org/officeDocument/2006/relationships" ref="G12" r:id="rId26"/>
    <hyperlink xmlns:r="http://schemas.openxmlformats.org/officeDocument/2006/relationships" ref="L12" r:id="rId27"/>
    <hyperlink xmlns:r="http://schemas.openxmlformats.org/officeDocument/2006/relationships" ref="F13" r:id="rId28"/>
    <hyperlink xmlns:r="http://schemas.openxmlformats.org/officeDocument/2006/relationships" ref="G13" r:id="rId29"/>
    <hyperlink xmlns:r="http://schemas.openxmlformats.org/officeDocument/2006/relationships" ref="L13" r:id="rId30"/>
    <hyperlink xmlns:r="http://schemas.openxmlformats.org/officeDocument/2006/relationships" ref="F14" r:id="rId31"/>
    <hyperlink xmlns:r="http://schemas.openxmlformats.org/officeDocument/2006/relationships" ref="G14" r:id="rId32"/>
    <hyperlink xmlns:r="http://schemas.openxmlformats.org/officeDocument/2006/relationships" ref="L14" r:id="rId33"/>
    <hyperlink xmlns:r="http://schemas.openxmlformats.org/officeDocument/2006/relationships" ref="F15" r:id="rId34"/>
    <hyperlink xmlns:r="http://schemas.openxmlformats.org/officeDocument/2006/relationships" ref="G15" r:id="rId35"/>
    <hyperlink xmlns:r="http://schemas.openxmlformats.org/officeDocument/2006/relationships" ref="L15" r:id="rId36"/>
    <hyperlink xmlns:r="http://schemas.openxmlformats.org/officeDocument/2006/relationships" ref="F16" r:id="rId37"/>
    <hyperlink xmlns:r="http://schemas.openxmlformats.org/officeDocument/2006/relationships" ref="G16" r:id="rId38"/>
    <hyperlink xmlns:r="http://schemas.openxmlformats.org/officeDocument/2006/relationships" ref="L16" r:id="rId39"/>
    <hyperlink xmlns:r="http://schemas.openxmlformats.org/officeDocument/2006/relationships" ref="F17" r:id="rId40"/>
    <hyperlink xmlns:r="http://schemas.openxmlformats.org/officeDocument/2006/relationships" ref="G17" r:id="rId41"/>
    <hyperlink xmlns:r="http://schemas.openxmlformats.org/officeDocument/2006/relationships" ref="L17" r:id="rId42"/>
    <hyperlink xmlns:r="http://schemas.openxmlformats.org/officeDocument/2006/relationships" ref="F18" r:id="rId43"/>
    <hyperlink xmlns:r="http://schemas.openxmlformats.org/officeDocument/2006/relationships" ref="G18" r:id="rId44"/>
    <hyperlink xmlns:r="http://schemas.openxmlformats.org/officeDocument/2006/relationships" ref="L18" r:id="rId45"/>
    <hyperlink xmlns:r="http://schemas.openxmlformats.org/officeDocument/2006/relationships" ref="F19" r:id="rId46"/>
    <hyperlink xmlns:r="http://schemas.openxmlformats.org/officeDocument/2006/relationships" ref="G19" r:id="rId47"/>
    <hyperlink xmlns:r="http://schemas.openxmlformats.org/officeDocument/2006/relationships" ref="L19" r:id="rId48"/>
    <hyperlink xmlns:r="http://schemas.openxmlformats.org/officeDocument/2006/relationships" ref="F20" r:id="rId49"/>
    <hyperlink xmlns:r="http://schemas.openxmlformats.org/officeDocument/2006/relationships" ref="G20" r:id="rId50"/>
    <hyperlink xmlns:r="http://schemas.openxmlformats.org/officeDocument/2006/relationships" ref="L20" r:id="rId51"/>
    <hyperlink xmlns:r="http://schemas.openxmlformats.org/officeDocument/2006/relationships" ref="F21" r:id="rId52"/>
    <hyperlink xmlns:r="http://schemas.openxmlformats.org/officeDocument/2006/relationships" ref="G21" r:id="rId53"/>
    <hyperlink xmlns:r="http://schemas.openxmlformats.org/officeDocument/2006/relationships" ref="L21" r:id="rId54"/>
    <hyperlink xmlns:r="http://schemas.openxmlformats.org/officeDocument/2006/relationships" ref="F22" r:id="rId55"/>
    <hyperlink xmlns:r="http://schemas.openxmlformats.org/officeDocument/2006/relationships" ref="G22" r:id="rId56"/>
    <hyperlink xmlns:r="http://schemas.openxmlformats.org/officeDocument/2006/relationships" ref="L22" r:id="rId57"/>
    <hyperlink xmlns:r="http://schemas.openxmlformats.org/officeDocument/2006/relationships" ref="F23" r:id="rId58"/>
    <hyperlink xmlns:r="http://schemas.openxmlformats.org/officeDocument/2006/relationships" ref="G23" r:id="rId59"/>
    <hyperlink xmlns:r="http://schemas.openxmlformats.org/officeDocument/2006/relationships" ref="L23" r:id="rId60"/>
    <hyperlink xmlns:r="http://schemas.openxmlformats.org/officeDocument/2006/relationships" ref="F24" r:id="rId61"/>
    <hyperlink xmlns:r="http://schemas.openxmlformats.org/officeDocument/2006/relationships" ref="G24" r:id="rId62"/>
    <hyperlink xmlns:r="http://schemas.openxmlformats.org/officeDocument/2006/relationships" ref="L24" r:id="rId63"/>
    <hyperlink xmlns:r="http://schemas.openxmlformats.org/officeDocument/2006/relationships" ref="F25" r:id="rId64"/>
    <hyperlink xmlns:r="http://schemas.openxmlformats.org/officeDocument/2006/relationships" ref="G25" r:id="rId65"/>
    <hyperlink xmlns:r="http://schemas.openxmlformats.org/officeDocument/2006/relationships" ref="L25" r:id="rId66"/>
    <hyperlink xmlns:r="http://schemas.openxmlformats.org/officeDocument/2006/relationships" ref="F26" r:id="rId67"/>
    <hyperlink xmlns:r="http://schemas.openxmlformats.org/officeDocument/2006/relationships" ref="G26" r:id="rId68"/>
    <hyperlink xmlns:r="http://schemas.openxmlformats.org/officeDocument/2006/relationships" ref="L26" r:id="rId69"/>
    <hyperlink xmlns:r="http://schemas.openxmlformats.org/officeDocument/2006/relationships" ref="F27" r:id="rId70"/>
    <hyperlink xmlns:r="http://schemas.openxmlformats.org/officeDocument/2006/relationships" ref="G27" r:id="rId71"/>
    <hyperlink xmlns:r="http://schemas.openxmlformats.org/officeDocument/2006/relationships" ref="L27" r:id="rId72"/>
    <hyperlink xmlns:r="http://schemas.openxmlformats.org/officeDocument/2006/relationships" ref="F28" r:id="rId73"/>
    <hyperlink xmlns:r="http://schemas.openxmlformats.org/officeDocument/2006/relationships" ref="G28" r:id="rId74"/>
    <hyperlink xmlns:r="http://schemas.openxmlformats.org/officeDocument/2006/relationships" ref="L28" r:id="rId75"/>
    <hyperlink xmlns:r="http://schemas.openxmlformats.org/officeDocument/2006/relationships" ref="F29" r:id="rId76"/>
    <hyperlink xmlns:r="http://schemas.openxmlformats.org/officeDocument/2006/relationships" ref="G29" r:id="rId77"/>
    <hyperlink xmlns:r="http://schemas.openxmlformats.org/officeDocument/2006/relationships" ref="L29" r:id="rId78"/>
    <hyperlink xmlns:r="http://schemas.openxmlformats.org/officeDocument/2006/relationships" ref="F30" r:id="rId79"/>
    <hyperlink xmlns:r="http://schemas.openxmlformats.org/officeDocument/2006/relationships" ref="G30" r:id="rId80"/>
    <hyperlink xmlns:r="http://schemas.openxmlformats.org/officeDocument/2006/relationships" ref="L30" r:id="rId81"/>
    <hyperlink xmlns:r="http://schemas.openxmlformats.org/officeDocument/2006/relationships" ref="F31" r:id="rId82"/>
    <hyperlink xmlns:r="http://schemas.openxmlformats.org/officeDocument/2006/relationships" ref="G31" r:id="rId83"/>
    <hyperlink xmlns:r="http://schemas.openxmlformats.org/officeDocument/2006/relationships" ref="L31" r:id="rId84"/>
    <hyperlink xmlns:r="http://schemas.openxmlformats.org/officeDocument/2006/relationships" ref="F32" r:id="rId85"/>
    <hyperlink xmlns:r="http://schemas.openxmlformats.org/officeDocument/2006/relationships" ref="G32" r:id="rId86"/>
    <hyperlink xmlns:r="http://schemas.openxmlformats.org/officeDocument/2006/relationships" ref="L32" r:id="rId87"/>
    <hyperlink xmlns:r="http://schemas.openxmlformats.org/officeDocument/2006/relationships" ref="F33" r:id="rId88"/>
    <hyperlink xmlns:r="http://schemas.openxmlformats.org/officeDocument/2006/relationships" ref="G33" r:id="rId89"/>
    <hyperlink xmlns:r="http://schemas.openxmlformats.org/officeDocument/2006/relationships" ref="L33" r:id="rId90"/>
    <hyperlink xmlns:r="http://schemas.openxmlformats.org/officeDocument/2006/relationships" ref="F34" r:id="rId91"/>
    <hyperlink xmlns:r="http://schemas.openxmlformats.org/officeDocument/2006/relationships" ref="G34" r:id="rId92"/>
    <hyperlink xmlns:r="http://schemas.openxmlformats.org/officeDocument/2006/relationships" ref="L34" r:id="rId93"/>
    <hyperlink xmlns:r="http://schemas.openxmlformats.org/officeDocument/2006/relationships" ref="F35" r:id="rId94"/>
    <hyperlink xmlns:r="http://schemas.openxmlformats.org/officeDocument/2006/relationships" ref="G35" r:id="rId95"/>
    <hyperlink xmlns:r="http://schemas.openxmlformats.org/officeDocument/2006/relationships" ref="L35" r:id="rId96"/>
    <hyperlink xmlns:r="http://schemas.openxmlformats.org/officeDocument/2006/relationships" ref="F36" r:id="rId97"/>
    <hyperlink xmlns:r="http://schemas.openxmlformats.org/officeDocument/2006/relationships" ref="G36" r:id="rId98"/>
    <hyperlink xmlns:r="http://schemas.openxmlformats.org/officeDocument/2006/relationships" ref="L36" r:id="rId99"/>
    <hyperlink xmlns:r="http://schemas.openxmlformats.org/officeDocument/2006/relationships" ref="F37" r:id="rId100"/>
    <hyperlink xmlns:r="http://schemas.openxmlformats.org/officeDocument/2006/relationships" ref="G37" r:id="rId101"/>
    <hyperlink xmlns:r="http://schemas.openxmlformats.org/officeDocument/2006/relationships" ref="L37" r:id="rId102"/>
    <hyperlink xmlns:r="http://schemas.openxmlformats.org/officeDocument/2006/relationships" ref="F38" r:id="rId103"/>
    <hyperlink xmlns:r="http://schemas.openxmlformats.org/officeDocument/2006/relationships" ref="G38" r:id="rId104"/>
    <hyperlink xmlns:r="http://schemas.openxmlformats.org/officeDocument/2006/relationships" ref="L38" r:id="rId105"/>
    <hyperlink xmlns:r="http://schemas.openxmlformats.org/officeDocument/2006/relationships" ref="F39" r:id="rId106"/>
    <hyperlink xmlns:r="http://schemas.openxmlformats.org/officeDocument/2006/relationships" ref="G39" r:id="rId107"/>
    <hyperlink xmlns:r="http://schemas.openxmlformats.org/officeDocument/2006/relationships" ref="L39" r:id="rId108"/>
    <hyperlink xmlns:r="http://schemas.openxmlformats.org/officeDocument/2006/relationships" ref="F40" r:id="rId109"/>
    <hyperlink xmlns:r="http://schemas.openxmlformats.org/officeDocument/2006/relationships" ref="G40" r:id="rId110"/>
    <hyperlink xmlns:r="http://schemas.openxmlformats.org/officeDocument/2006/relationships" ref="L40" r:id="rId111"/>
    <hyperlink xmlns:r="http://schemas.openxmlformats.org/officeDocument/2006/relationships" ref="F41" r:id="rId112"/>
    <hyperlink xmlns:r="http://schemas.openxmlformats.org/officeDocument/2006/relationships" ref="G41" r:id="rId113"/>
    <hyperlink xmlns:r="http://schemas.openxmlformats.org/officeDocument/2006/relationships" ref="L41" r:id="rId114"/>
    <hyperlink xmlns:r="http://schemas.openxmlformats.org/officeDocument/2006/relationships" ref="F42" r:id="rId115"/>
    <hyperlink xmlns:r="http://schemas.openxmlformats.org/officeDocument/2006/relationships" ref="G42" r:id="rId116"/>
    <hyperlink xmlns:r="http://schemas.openxmlformats.org/officeDocument/2006/relationships" ref="L42" r:id="rId117"/>
    <hyperlink xmlns:r="http://schemas.openxmlformats.org/officeDocument/2006/relationships" ref="F43" r:id="rId118"/>
    <hyperlink xmlns:r="http://schemas.openxmlformats.org/officeDocument/2006/relationships" ref="G43" r:id="rId119"/>
    <hyperlink xmlns:r="http://schemas.openxmlformats.org/officeDocument/2006/relationships" ref="L43" r:id="rId120"/>
    <hyperlink xmlns:r="http://schemas.openxmlformats.org/officeDocument/2006/relationships" ref="F44" r:id="rId121"/>
    <hyperlink xmlns:r="http://schemas.openxmlformats.org/officeDocument/2006/relationships" ref="G44" r:id="rId122"/>
    <hyperlink xmlns:r="http://schemas.openxmlformats.org/officeDocument/2006/relationships" ref="L44" r:id="rId123"/>
    <hyperlink xmlns:r="http://schemas.openxmlformats.org/officeDocument/2006/relationships" ref="F45" r:id="rId124"/>
    <hyperlink xmlns:r="http://schemas.openxmlformats.org/officeDocument/2006/relationships" ref="G45" r:id="rId125"/>
    <hyperlink xmlns:r="http://schemas.openxmlformats.org/officeDocument/2006/relationships" ref="L45" r:id="rId126"/>
    <hyperlink xmlns:r="http://schemas.openxmlformats.org/officeDocument/2006/relationships" ref="F46" r:id="rId127"/>
    <hyperlink xmlns:r="http://schemas.openxmlformats.org/officeDocument/2006/relationships" ref="G46" r:id="rId128"/>
    <hyperlink xmlns:r="http://schemas.openxmlformats.org/officeDocument/2006/relationships" ref="L46" r:id="rId129"/>
    <hyperlink xmlns:r="http://schemas.openxmlformats.org/officeDocument/2006/relationships" ref="F47" r:id="rId130"/>
    <hyperlink xmlns:r="http://schemas.openxmlformats.org/officeDocument/2006/relationships" ref="G47" r:id="rId131"/>
    <hyperlink xmlns:r="http://schemas.openxmlformats.org/officeDocument/2006/relationships" ref="L47" r:id="rId132"/>
    <hyperlink xmlns:r="http://schemas.openxmlformats.org/officeDocument/2006/relationships" ref="F48" r:id="rId133"/>
    <hyperlink xmlns:r="http://schemas.openxmlformats.org/officeDocument/2006/relationships" ref="G48" r:id="rId134"/>
    <hyperlink xmlns:r="http://schemas.openxmlformats.org/officeDocument/2006/relationships" ref="L48" r:id="rId135"/>
    <hyperlink xmlns:r="http://schemas.openxmlformats.org/officeDocument/2006/relationships" ref="F49" r:id="rId136"/>
    <hyperlink xmlns:r="http://schemas.openxmlformats.org/officeDocument/2006/relationships" ref="G49" r:id="rId137"/>
    <hyperlink xmlns:r="http://schemas.openxmlformats.org/officeDocument/2006/relationships" ref="L49" r:id="rId138"/>
    <hyperlink xmlns:r="http://schemas.openxmlformats.org/officeDocument/2006/relationships" ref="F50" r:id="rId139"/>
    <hyperlink xmlns:r="http://schemas.openxmlformats.org/officeDocument/2006/relationships" ref="G50" r:id="rId140"/>
    <hyperlink xmlns:r="http://schemas.openxmlformats.org/officeDocument/2006/relationships" ref="L50" r:id="rId141"/>
    <hyperlink xmlns:r="http://schemas.openxmlformats.org/officeDocument/2006/relationships" ref="F51" r:id="rId142"/>
    <hyperlink xmlns:r="http://schemas.openxmlformats.org/officeDocument/2006/relationships" ref="G51" r:id="rId143"/>
    <hyperlink xmlns:r="http://schemas.openxmlformats.org/officeDocument/2006/relationships" ref="L51" r:id="rId144"/>
    <hyperlink xmlns:r="http://schemas.openxmlformats.org/officeDocument/2006/relationships" ref="F52" r:id="rId145"/>
    <hyperlink xmlns:r="http://schemas.openxmlformats.org/officeDocument/2006/relationships" ref="G52" r:id="rId146"/>
    <hyperlink xmlns:r="http://schemas.openxmlformats.org/officeDocument/2006/relationships" ref="L52" r:id="rId147"/>
    <hyperlink xmlns:r="http://schemas.openxmlformats.org/officeDocument/2006/relationships" ref="F53" r:id="rId148"/>
    <hyperlink xmlns:r="http://schemas.openxmlformats.org/officeDocument/2006/relationships" ref="G53" r:id="rId149"/>
    <hyperlink xmlns:r="http://schemas.openxmlformats.org/officeDocument/2006/relationships" ref="L53" r:id="rId150"/>
    <hyperlink xmlns:r="http://schemas.openxmlformats.org/officeDocument/2006/relationships" ref="F54" r:id="rId151"/>
    <hyperlink xmlns:r="http://schemas.openxmlformats.org/officeDocument/2006/relationships" ref="G54" r:id="rId152"/>
    <hyperlink xmlns:r="http://schemas.openxmlformats.org/officeDocument/2006/relationships" ref="L54" r:id="rId153"/>
    <hyperlink xmlns:r="http://schemas.openxmlformats.org/officeDocument/2006/relationships" ref="F55" r:id="rId154"/>
    <hyperlink xmlns:r="http://schemas.openxmlformats.org/officeDocument/2006/relationships" ref="G55" r:id="rId155"/>
    <hyperlink xmlns:r="http://schemas.openxmlformats.org/officeDocument/2006/relationships" ref="L55" r:id="rId156"/>
    <hyperlink xmlns:r="http://schemas.openxmlformats.org/officeDocument/2006/relationships" ref="F56" r:id="rId157"/>
    <hyperlink xmlns:r="http://schemas.openxmlformats.org/officeDocument/2006/relationships" ref="G56" r:id="rId158"/>
    <hyperlink xmlns:r="http://schemas.openxmlformats.org/officeDocument/2006/relationships" ref="L56" r:id="rId159"/>
    <hyperlink xmlns:r="http://schemas.openxmlformats.org/officeDocument/2006/relationships" ref="F57" r:id="rId160"/>
    <hyperlink xmlns:r="http://schemas.openxmlformats.org/officeDocument/2006/relationships" ref="G57" r:id="rId161"/>
    <hyperlink xmlns:r="http://schemas.openxmlformats.org/officeDocument/2006/relationships" ref="L57" r:id="rId162"/>
    <hyperlink xmlns:r="http://schemas.openxmlformats.org/officeDocument/2006/relationships" ref="F58" r:id="rId163"/>
    <hyperlink xmlns:r="http://schemas.openxmlformats.org/officeDocument/2006/relationships" ref="G58" r:id="rId164"/>
    <hyperlink xmlns:r="http://schemas.openxmlformats.org/officeDocument/2006/relationships" ref="L58" r:id="rId165"/>
    <hyperlink xmlns:r="http://schemas.openxmlformats.org/officeDocument/2006/relationships" ref="F59" r:id="rId166"/>
    <hyperlink xmlns:r="http://schemas.openxmlformats.org/officeDocument/2006/relationships" ref="G59" r:id="rId167"/>
    <hyperlink xmlns:r="http://schemas.openxmlformats.org/officeDocument/2006/relationships" ref="L59" r:id="rId168"/>
    <hyperlink xmlns:r="http://schemas.openxmlformats.org/officeDocument/2006/relationships" ref="F60" r:id="rId169"/>
    <hyperlink xmlns:r="http://schemas.openxmlformats.org/officeDocument/2006/relationships" ref="G60" r:id="rId170"/>
    <hyperlink xmlns:r="http://schemas.openxmlformats.org/officeDocument/2006/relationships" ref="L60" r:id="rId171"/>
    <hyperlink xmlns:r="http://schemas.openxmlformats.org/officeDocument/2006/relationships" ref="F61" r:id="rId172"/>
    <hyperlink xmlns:r="http://schemas.openxmlformats.org/officeDocument/2006/relationships" ref="G61" r:id="rId173"/>
    <hyperlink xmlns:r="http://schemas.openxmlformats.org/officeDocument/2006/relationships" ref="L61" r:id="rId174"/>
    <hyperlink xmlns:r="http://schemas.openxmlformats.org/officeDocument/2006/relationships" ref="F62" r:id="rId175"/>
    <hyperlink xmlns:r="http://schemas.openxmlformats.org/officeDocument/2006/relationships" ref="G62" r:id="rId176"/>
    <hyperlink xmlns:r="http://schemas.openxmlformats.org/officeDocument/2006/relationships" ref="L62" r:id="rId177"/>
    <hyperlink xmlns:r="http://schemas.openxmlformats.org/officeDocument/2006/relationships" ref="F63" r:id="rId178"/>
    <hyperlink xmlns:r="http://schemas.openxmlformats.org/officeDocument/2006/relationships" ref="G63" r:id="rId179"/>
    <hyperlink xmlns:r="http://schemas.openxmlformats.org/officeDocument/2006/relationships" ref="L63" r:id="rId180"/>
    <hyperlink xmlns:r="http://schemas.openxmlformats.org/officeDocument/2006/relationships" ref="F64" r:id="rId181"/>
    <hyperlink xmlns:r="http://schemas.openxmlformats.org/officeDocument/2006/relationships" ref="G64" r:id="rId182"/>
    <hyperlink xmlns:r="http://schemas.openxmlformats.org/officeDocument/2006/relationships" ref="L64" r:id="rId183"/>
    <hyperlink xmlns:r="http://schemas.openxmlformats.org/officeDocument/2006/relationships" ref="F65" r:id="rId184"/>
    <hyperlink xmlns:r="http://schemas.openxmlformats.org/officeDocument/2006/relationships" ref="G65" r:id="rId185"/>
    <hyperlink xmlns:r="http://schemas.openxmlformats.org/officeDocument/2006/relationships" ref="L65" r:id="rId186"/>
    <hyperlink xmlns:r="http://schemas.openxmlformats.org/officeDocument/2006/relationships" ref="F66" r:id="rId187"/>
    <hyperlink xmlns:r="http://schemas.openxmlformats.org/officeDocument/2006/relationships" ref="G66" r:id="rId188"/>
    <hyperlink xmlns:r="http://schemas.openxmlformats.org/officeDocument/2006/relationships" ref="L66" r:id="rId189"/>
    <hyperlink xmlns:r="http://schemas.openxmlformats.org/officeDocument/2006/relationships" ref="F67" r:id="rId190"/>
    <hyperlink xmlns:r="http://schemas.openxmlformats.org/officeDocument/2006/relationships" ref="G67" r:id="rId191"/>
    <hyperlink xmlns:r="http://schemas.openxmlformats.org/officeDocument/2006/relationships" ref="L67" r:id="rId192"/>
    <hyperlink xmlns:r="http://schemas.openxmlformats.org/officeDocument/2006/relationships" ref="F68" r:id="rId193"/>
    <hyperlink xmlns:r="http://schemas.openxmlformats.org/officeDocument/2006/relationships" ref="L68" r:id="rId194"/>
    <hyperlink xmlns:r="http://schemas.openxmlformats.org/officeDocument/2006/relationships" ref="F69" r:id="rId195"/>
    <hyperlink xmlns:r="http://schemas.openxmlformats.org/officeDocument/2006/relationships" ref="L69" r:id="rId196"/>
    <hyperlink xmlns:r="http://schemas.openxmlformats.org/officeDocument/2006/relationships" ref="F70" r:id="rId197"/>
    <hyperlink xmlns:r="http://schemas.openxmlformats.org/officeDocument/2006/relationships" ref="G70" r:id="rId198"/>
    <hyperlink xmlns:r="http://schemas.openxmlformats.org/officeDocument/2006/relationships" ref="L70" r:id="rId199"/>
    <hyperlink xmlns:r="http://schemas.openxmlformats.org/officeDocument/2006/relationships" ref="F71" r:id="rId200"/>
    <hyperlink xmlns:r="http://schemas.openxmlformats.org/officeDocument/2006/relationships" ref="G71" r:id="rId201"/>
    <hyperlink xmlns:r="http://schemas.openxmlformats.org/officeDocument/2006/relationships" ref="L71" r:id="rId202"/>
    <hyperlink xmlns:r="http://schemas.openxmlformats.org/officeDocument/2006/relationships" ref="F72" r:id="rId203"/>
    <hyperlink xmlns:r="http://schemas.openxmlformats.org/officeDocument/2006/relationships" ref="G72" r:id="rId204"/>
    <hyperlink xmlns:r="http://schemas.openxmlformats.org/officeDocument/2006/relationships" ref="L72" r:id="rId205"/>
    <hyperlink xmlns:r="http://schemas.openxmlformats.org/officeDocument/2006/relationships" ref="F73" r:id="rId206"/>
    <hyperlink xmlns:r="http://schemas.openxmlformats.org/officeDocument/2006/relationships" ref="G73" r:id="rId207"/>
    <hyperlink xmlns:r="http://schemas.openxmlformats.org/officeDocument/2006/relationships" ref="L73" r:id="rId208"/>
    <hyperlink xmlns:r="http://schemas.openxmlformats.org/officeDocument/2006/relationships" ref="F74" r:id="rId209"/>
    <hyperlink xmlns:r="http://schemas.openxmlformats.org/officeDocument/2006/relationships" ref="G74" r:id="rId210"/>
    <hyperlink xmlns:r="http://schemas.openxmlformats.org/officeDocument/2006/relationships" ref="L74" r:id="rId211"/>
    <hyperlink xmlns:r="http://schemas.openxmlformats.org/officeDocument/2006/relationships" ref="F75" r:id="rId212"/>
    <hyperlink xmlns:r="http://schemas.openxmlformats.org/officeDocument/2006/relationships" ref="G75" r:id="rId213"/>
    <hyperlink xmlns:r="http://schemas.openxmlformats.org/officeDocument/2006/relationships" ref="L75" r:id="rId214"/>
    <hyperlink xmlns:r="http://schemas.openxmlformats.org/officeDocument/2006/relationships" ref="F76" r:id="rId215"/>
    <hyperlink xmlns:r="http://schemas.openxmlformats.org/officeDocument/2006/relationships" ref="G76" r:id="rId216"/>
    <hyperlink xmlns:r="http://schemas.openxmlformats.org/officeDocument/2006/relationships" ref="L76" r:id="rId217"/>
    <hyperlink xmlns:r="http://schemas.openxmlformats.org/officeDocument/2006/relationships" ref="F77" r:id="rId218"/>
    <hyperlink xmlns:r="http://schemas.openxmlformats.org/officeDocument/2006/relationships" ref="G77" r:id="rId219"/>
    <hyperlink xmlns:r="http://schemas.openxmlformats.org/officeDocument/2006/relationships" ref="L77" r:id="rId220"/>
    <hyperlink xmlns:r="http://schemas.openxmlformats.org/officeDocument/2006/relationships" ref="F78" r:id="rId221"/>
    <hyperlink xmlns:r="http://schemas.openxmlformats.org/officeDocument/2006/relationships" ref="G78" r:id="rId222"/>
    <hyperlink xmlns:r="http://schemas.openxmlformats.org/officeDocument/2006/relationships" ref="L78" r:id="rId223"/>
    <hyperlink xmlns:r="http://schemas.openxmlformats.org/officeDocument/2006/relationships" ref="F79" r:id="rId224"/>
    <hyperlink xmlns:r="http://schemas.openxmlformats.org/officeDocument/2006/relationships" ref="G79" r:id="rId225"/>
    <hyperlink xmlns:r="http://schemas.openxmlformats.org/officeDocument/2006/relationships" ref="L79" r:id="rId226"/>
    <hyperlink xmlns:r="http://schemas.openxmlformats.org/officeDocument/2006/relationships" ref="F80" r:id="rId227"/>
    <hyperlink xmlns:r="http://schemas.openxmlformats.org/officeDocument/2006/relationships" ref="G80" r:id="rId228"/>
    <hyperlink xmlns:r="http://schemas.openxmlformats.org/officeDocument/2006/relationships" ref="L80" r:id="rId229"/>
    <hyperlink xmlns:r="http://schemas.openxmlformats.org/officeDocument/2006/relationships" ref="F81" r:id="rId230"/>
    <hyperlink xmlns:r="http://schemas.openxmlformats.org/officeDocument/2006/relationships" ref="G81" r:id="rId231"/>
    <hyperlink xmlns:r="http://schemas.openxmlformats.org/officeDocument/2006/relationships" ref="L81" r:id="rId232"/>
    <hyperlink xmlns:r="http://schemas.openxmlformats.org/officeDocument/2006/relationships" ref="F82" r:id="rId233"/>
    <hyperlink xmlns:r="http://schemas.openxmlformats.org/officeDocument/2006/relationships" ref="G82" r:id="rId234"/>
    <hyperlink xmlns:r="http://schemas.openxmlformats.org/officeDocument/2006/relationships" ref="L82" r:id="rId235"/>
    <hyperlink xmlns:r="http://schemas.openxmlformats.org/officeDocument/2006/relationships" ref="F83" r:id="rId236"/>
    <hyperlink xmlns:r="http://schemas.openxmlformats.org/officeDocument/2006/relationships" ref="G83" r:id="rId237"/>
    <hyperlink xmlns:r="http://schemas.openxmlformats.org/officeDocument/2006/relationships" ref="L83" r:id="rId238"/>
    <hyperlink xmlns:r="http://schemas.openxmlformats.org/officeDocument/2006/relationships" ref="F84" r:id="rId239"/>
    <hyperlink xmlns:r="http://schemas.openxmlformats.org/officeDocument/2006/relationships" ref="G84" r:id="rId240"/>
    <hyperlink xmlns:r="http://schemas.openxmlformats.org/officeDocument/2006/relationships" ref="L84" r:id="rId241"/>
    <hyperlink xmlns:r="http://schemas.openxmlformats.org/officeDocument/2006/relationships" ref="F85" r:id="rId242"/>
    <hyperlink xmlns:r="http://schemas.openxmlformats.org/officeDocument/2006/relationships" ref="G85" r:id="rId243"/>
    <hyperlink xmlns:r="http://schemas.openxmlformats.org/officeDocument/2006/relationships" ref="L85" r:id="rId244"/>
    <hyperlink xmlns:r="http://schemas.openxmlformats.org/officeDocument/2006/relationships" ref="F86" r:id="rId245"/>
    <hyperlink xmlns:r="http://schemas.openxmlformats.org/officeDocument/2006/relationships" ref="G86" r:id="rId246"/>
    <hyperlink xmlns:r="http://schemas.openxmlformats.org/officeDocument/2006/relationships" ref="L86" r:id="rId247"/>
    <hyperlink xmlns:r="http://schemas.openxmlformats.org/officeDocument/2006/relationships" ref="F87" r:id="rId248"/>
    <hyperlink xmlns:r="http://schemas.openxmlformats.org/officeDocument/2006/relationships" ref="G87" r:id="rId249"/>
    <hyperlink xmlns:r="http://schemas.openxmlformats.org/officeDocument/2006/relationships" ref="L87" r:id="rId250"/>
    <hyperlink xmlns:r="http://schemas.openxmlformats.org/officeDocument/2006/relationships" ref="F88" r:id="rId251"/>
    <hyperlink xmlns:r="http://schemas.openxmlformats.org/officeDocument/2006/relationships" ref="G88" r:id="rId252"/>
    <hyperlink xmlns:r="http://schemas.openxmlformats.org/officeDocument/2006/relationships" ref="L88" r:id="rId253"/>
    <hyperlink xmlns:r="http://schemas.openxmlformats.org/officeDocument/2006/relationships" ref="F89" r:id="rId254"/>
    <hyperlink xmlns:r="http://schemas.openxmlformats.org/officeDocument/2006/relationships" ref="G89" r:id="rId255"/>
    <hyperlink xmlns:r="http://schemas.openxmlformats.org/officeDocument/2006/relationships" ref="L89" r:id="rId256"/>
    <hyperlink xmlns:r="http://schemas.openxmlformats.org/officeDocument/2006/relationships" ref="F90" r:id="rId257"/>
    <hyperlink xmlns:r="http://schemas.openxmlformats.org/officeDocument/2006/relationships" ref="G90" r:id="rId258"/>
    <hyperlink xmlns:r="http://schemas.openxmlformats.org/officeDocument/2006/relationships" ref="L90" r:id="rId259"/>
    <hyperlink xmlns:r="http://schemas.openxmlformats.org/officeDocument/2006/relationships" ref="F91" r:id="rId260"/>
    <hyperlink xmlns:r="http://schemas.openxmlformats.org/officeDocument/2006/relationships" ref="G91" r:id="rId261"/>
    <hyperlink xmlns:r="http://schemas.openxmlformats.org/officeDocument/2006/relationships" ref="L91" r:id="rId262"/>
    <hyperlink xmlns:r="http://schemas.openxmlformats.org/officeDocument/2006/relationships" ref="F92" r:id="rId263"/>
    <hyperlink xmlns:r="http://schemas.openxmlformats.org/officeDocument/2006/relationships" ref="G92" r:id="rId264"/>
    <hyperlink xmlns:r="http://schemas.openxmlformats.org/officeDocument/2006/relationships" ref="L92" r:id="rId265"/>
    <hyperlink xmlns:r="http://schemas.openxmlformats.org/officeDocument/2006/relationships" ref="F93" r:id="rId266"/>
    <hyperlink xmlns:r="http://schemas.openxmlformats.org/officeDocument/2006/relationships" ref="G93" r:id="rId267"/>
    <hyperlink xmlns:r="http://schemas.openxmlformats.org/officeDocument/2006/relationships" ref="L93" r:id="rId268"/>
    <hyperlink xmlns:r="http://schemas.openxmlformats.org/officeDocument/2006/relationships" ref="F94" r:id="rId269"/>
    <hyperlink xmlns:r="http://schemas.openxmlformats.org/officeDocument/2006/relationships" ref="G94" r:id="rId270"/>
    <hyperlink xmlns:r="http://schemas.openxmlformats.org/officeDocument/2006/relationships" ref="L94" r:id="rId271"/>
    <hyperlink xmlns:r="http://schemas.openxmlformats.org/officeDocument/2006/relationships" ref="F95" r:id="rId272"/>
    <hyperlink xmlns:r="http://schemas.openxmlformats.org/officeDocument/2006/relationships" ref="G95" r:id="rId273"/>
    <hyperlink xmlns:r="http://schemas.openxmlformats.org/officeDocument/2006/relationships" ref="L95" r:id="rId274"/>
    <hyperlink xmlns:r="http://schemas.openxmlformats.org/officeDocument/2006/relationships" ref="F96" r:id="rId275"/>
    <hyperlink xmlns:r="http://schemas.openxmlformats.org/officeDocument/2006/relationships" ref="G96" r:id="rId276"/>
    <hyperlink xmlns:r="http://schemas.openxmlformats.org/officeDocument/2006/relationships" ref="L96" r:id="rId277"/>
    <hyperlink xmlns:r="http://schemas.openxmlformats.org/officeDocument/2006/relationships" ref="F97" r:id="rId278"/>
    <hyperlink xmlns:r="http://schemas.openxmlformats.org/officeDocument/2006/relationships" ref="G97" r:id="rId279"/>
    <hyperlink xmlns:r="http://schemas.openxmlformats.org/officeDocument/2006/relationships" ref="L97" r:id="rId280"/>
    <hyperlink xmlns:r="http://schemas.openxmlformats.org/officeDocument/2006/relationships" ref="F98" r:id="rId281"/>
    <hyperlink xmlns:r="http://schemas.openxmlformats.org/officeDocument/2006/relationships" ref="G98" r:id="rId282"/>
    <hyperlink xmlns:r="http://schemas.openxmlformats.org/officeDocument/2006/relationships" ref="L98" r:id="rId283"/>
    <hyperlink xmlns:r="http://schemas.openxmlformats.org/officeDocument/2006/relationships" ref="F99" r:id="rId284"/>
    <hyperlink xmlns:r="http://schemas.openxmlformats.org/officeDocument/2006/relationships" ref="G99" r:id="rId285"/>
    <hyperlink xmlns:r="http://schemas.openxmlformats.org/officeDocument/2006/relationships" ref="L99" r:id="rId286"/>
    <hyperlink xmlns:r="http://schemas.openxmlformats.org/officeDocument/2006/relationships" ref="F100" r:id="rId287"/>
    <hyperlink xmlns:r="http://schemas.openxmlformats.org/officeDocument/2006/relationships" ref="G100" r:id="rId288"/>
    <hyperlink xmlns:r="http://schemas.openxmlformats.org/officeDocument/2006/relationships" ref="L100" r:id="rId289"/>
    <hyperlink xmlns:r="http://schemas.openxmlformats.org/officeDocument/2006/relationships" ref="F101" r:id="rId290"/>
    <hyperlink xmlns:r="http://schemas.openxmlformats.org/officeDocument/2006/relationships" ref="G101" r:id="rId291"/>
    <hyperlink xmlns:r="http://schemas.openxmlformats.org/officeDocument/2006/relationships" ref="L101" r:id="rId292"/>
    <hyperlink xmlns:r="http://schemas.openxmlformats.org/officeDocument/2006/relationships" ref="F102" r:id="rId293"/>
    <hyperlink xmlns:r="http://schemas.openxmlformats.org/officeDocument/2006/relationships" ref="G102" r:id="rId294"/>
    <hyperlink xmlns:r="http://schemas.openxmlformats.org/officeDocument/2006/relationships" ref="L102" r:id="rId295"/>
    <hyperlink xmlns:r="http://schemas.openxmlformats.org/officeDocument/2006/relationships" ref="F103" r:id="rId296"/>
    <hyperlink xmlns:r="http://schemas.openxmlformats.org/officeDocument/2006/relationships" ref="G103" r:id="rId297"/>
    <hyperlink xmlns:r="http://schemas.openxmlformats.org/officeDocument/2006/relationships" ref="L103" r:id="rId298"/>
    <hyperlink xmlns:r="http://schemas.openxmlformats.org/officeDocument/2006/relationships" ref="F104" r:id="rId299"/>
    <hyperlink xmlns:r="http://schemas.openxmlformats.org/officeDocument/2006/relationships" ref="G104" r:id="rId300"/>
    <hyperlink xmlns:r="http://schemas.openxmlformats.org/officeDocument/2006/relationships" ref="L104" r:id="rId301"/>
    <hyperlink xmlns:r="http://schemas.openxmlformats.org/officeDocument/2006/relationships" ref="F105" r:id="rId302"/>
    <hyperlink xmlns:r="http://schemas.openxmlformats.org/officeDocument/2006/relationships" ref="G105" r:id="rId303"/>
    <hyperlink xmlns:r="http://schemas.openxmlformats.org/officeDocument/2006/relationships" ref="L105" r:id="rId304"/>
    <hyperlink xmlns:r="http://schemas.openxmlformats.org/officeDocument/2006/relationships" ref="F106" r:id="rId305"/>
    <hyperlink xmlns:r="http://schemas.openxmlformats.org/officeDocument/2006/relationships" ref="G106" r:id="rId306"/>
    <hyperlink xmlns:r="http://schemas.openxmlformats.org/officeDocument/2006/relationships" ref="L106" r:id="rId307"/>
    <hyperlink xmlns:r="http://schemas.openxmlformats.org/officeDocument/2006/relationships" ref="F107" r:id="rId308"/>
    <hyperlink xmlns:r="http://schemas.openxmlformats.org/officeDocument/2006/relationships" ref="G107" r:id="rId309"/>
    <hyperlink xmlns:r="http://schemas.openxmlformats.org/officeDocument/2006/relationships" ref="L107" r:id="rId310"/>
    <hyperlink xmlns:r="http://schemas.openxmlformats.org/officeDocument/2006/relationships" ref="F108" r:id="rId311"/>
    <hyperlink xmlns:r="http://schemas.openxmlformats.org/officeDocument/2006/relationships" ref="G108" r:id="rId312"/>
    <hyperlink xmlns:r="http://schemas.openxmlformats.org/officeDocument/2006/relationships" ref="L108" r:id="rId313"/>
    <hyperlink xmlns:r="http://schemas.openxmlformats.org/officeDocument/2006/relationships" ref="F109" r:id="rId314"/>
    <hyperlink xmlns:r="http://schemas.openxmlformats.org/officeDocument/2006/relationships" ref="G109" r:id="rId315"/>
    <hyperlink xmlns:r="http://schemas.openxmlformats.org/officeDocument/2006/relationships" ref="L109" r:id="rId316"/>
    <hyperlink xmlns:r="http://schemas.openxmlformats.org/officeDocument/2006/relationships" ref="F110" r:id="rId317"/>
    <hyperlink xmlns:r="http://schemas.openxmlformats.org/officeDocument/2006/relationships" ref="G110" r:id="rId318"/>
    <hyperlink xmlns:r="http://schemas.openxmlformats.org/officeDocument/2006/relationships" ref="L110" r:id="rId319"/>
    <hyperlink xmlns:r="http://schemas.openxmlformats.org/officeDocument/2006/relationships" ref="F111" r:id="rId320"/>
    <hyperlink xmlns:r="http://schemas.openxmlformats.org/officeDocument/2006/relationships" ref="G111" r:id="rId321"/>
    <hyperlink xmlns:r="http://schemas.openxmlformats.org/officeDocument/2006/relationships" ref="L111" r:id="rId322"/>
    <hyperlink xmlns:r="http://schemas.openxmlformats.org/officeDocument/2006/relationships" ref="F112" r:id="rId323"/>
    <hyperlink xmlns:r="http://schemas.openxmlformats.org/officeDocument/2006/relationships" ref="G112" r:id="rId324"/>
    <hyperlink xmlns:r="http://schemas.openxmlformats.org/officeDocument/2006/relationships" ref="L112" r:id="rId325"/>
    <hyperlink xmlns:r="http://schemas.openxmlformats.org/officeDocument/2006/relationships" ref="F113" r:id="rId326"/>
    <hyperlink xmlns:r="http://schemas.openxmlformats.org/officeDocument/2006/relationships" ref="G113" r:id="rId327"/>
    <hyperlink xmlns:r="http://schemas.openxmlformats.org/officeDocument/2006/relationships" ref="L113" r:id="rId328"/>
    <hyperlink xmlns:r="http://schemas.openxmlformats.org/officeDocument/2006/relationships" ref="F114" r:id="rId329"/>
    <hyperlink xmlns:r="http://schemas.openxmlformats.org/officeDocument/2006/relationships" ref="G114" r:id="rId330"/>
    <hyperlink xmlns:r="http://schemas.openxmlformats.org/officeDocument/2006/relationships" ref="L114" r:id="rId331"/>
    <hyperlink xmlns:r="http://schemas.openxmlformats.org/officeDocument/2006/relationships" ref="F115" r:id="rId332"/>
    <hyperlink xmlns:r="http://schemas.openxmlformats.org/officeDocument/2006/relationships" ref="G115" r:id="rId333"/>
    <hyperlink xmlns:r="http://schemas.openxmlformats.org/officeDocument/2006/relationships" ref="L115" r:id="rId334"/>
    <hyperlink xmlns:r="http://schemas.openxmlformats.org/officeDocument/2006/relationships" ref="F116" r:id="rId335"/>
    <hyperlink xmlns:r="http://schemas.openxmlformats.org/officeDocument/2006/relationships" ref="G116" r:id="rId336"/>
    <hyperlink xmlns:r="http://schemas.openxmlformats.org/officeDocument/2006/relationships" ref="L116" r:id="rId337"/>
    <hyperlink xmlns:r="http://schemas.openxmlformats.org/officeDocument/2006/relationships" ref="F117" r:id="rId338"/>
    <hyperlink xmlns:r="http://schemas.openxmlformats.org/officeDocument/2006/relationships" ref="G117" r:id="rId339"/>
    <hyperlink xmlns:r="http://schemas.openxmlformats.org/officeDocument/2006/relationships" ref="L117" r:id="rId340"/>
    <hyperlink xmlns:r="http://schemas.openxmlformats.org/officeDocument/2006/relationships" ref="F118" r:id="rId341"/>
    <hyperlink xmlns:r="http://schemas.openxmlformats.org/officeDocument/2006/relationships" ref="G118" r:id="rId342"/>
    <hyperlink xmlns:r="http://schemas.openxmlformats.org/officeDocument/2006/relationships" ref="L118" r:id="rId343"/>
    <hyperlink xmlns:r="http://schemas.openxmlformats.org/officeDocument/2006/relationships" ref="F119" r:id="rId344"/>
    <hyperlink xmlns:r="http://schemas.openxmlformats.org/officeDocument/2006/relationships" ref="G119" r:id="rId345"/>
    <hyperlink xmlns:r="http://schemas.openxmlformats.org/officeDocument/2006/relationships" ref="L119" r:id="rId346"/>
    <hyperlink xmlns:r="http://schemas.openxmlformats.org/officeDocument/2006/relationships" ref="F120" r:id="rId347"/>
    <hyperlink xmlns:r="http://schemas.openxmlformats.org/officeDocument/2006/relationships" ref="G120" r:id="rId348"/>
    <hyperlink xmlns:r="http://schemas.openxmlformats.org/officeDocument/2006/relationships" ref="L120" r:id="rId349"/>
    <hyperlink xmlns:r="http://schemas.openxmlformats.org/officeDocument/2006/relationships" ref="F121" r:id="rId350"/>
    <hyperlink xmlns:r="http://schemas.openxmlformats.org/officeDocument/2006/relationships" ref="G121" r:id="rId351"/>
    <hyperlink xmlns:r="http://schemas.openxmlformats.org/officeDocument/2006/relationships" ref="L121" r:id="rId352"/>
    <hyperlink xmlns:r="http://schemas.openxmlformats.org/officeDocument/2006/relationships" ref="F122" r:id="rId353"/>
    <hyperlink xmlns:r="http://schemas.openxmlformats.org/officeDocument/2006/relationships" ref="G122" r:id="rId354"/>
    <hyperlink xmlns:r="http://schemas.openxmlformats.org/officeDocument/2006/relationships" ref="L122" r:id="rId355"/>
    <hyperlink xmlns:r="http://schemas.openxmlformats.org/officeDocument/2006/relationships" ref="F123" r:id="rId356"/>
    <hyperlink xmlns:r="http://schemas.openxmlformats.org/officeDocument/2006/relationships" ref="G123" r:id="rId357"/>
    <hyperlink xmlns:r="http://schemas.openxmlformats.org/officeDocument/2006/relationships" ref="L123" r:id="rId358"/>
    <hyperlink xmlns:r="http://schemas.openxmlformats.org/officeDocument/2006/relationships" ref="F124" r:id="rId359"/>
    <hyperlink xmlns:r="http://schemas.openxmlformats.org/officeDocument/2006/relationships" ref="G124" r:id="rId360"/>
    <hyperlink xmlns:r="http://schemas.openxmlformats.org/officeDocument/2006/relationships" ref="L124" r:id="rId361"/>
    <hyperlink xmlns:r="http://schemas.openxmlformats.org/officeDocument/2006/relationships" ref="F125" r:id="rId362"/>
    <hyperlink xmlns:r="http://schemas.openxmlformats.org/officeDocument/2006/relationships" ref="G125" r:id="rId363"/>
    <hyperlink xmlns:r="http://schemas.openxmlformats.org/officeDocument/2006/relationships" ref="L125" r:id="rId364"/>
    <hyperlink xmlns:r="http://schemas.openxmlformats.org/officeDocument/2006/relationships" ref="F126" r:id="rId365"/>
    <hyperlink xmlns:r="http://schemas.openxmlformats.org/officeDocument/2006/relationships" ref="G126" r:id="rId366"/>
    <hyperlink xmlns:r="http://schemas.openxmlformats.org/officeDocument/2006/relationships" ref="L126" r:id="rId367"/>
    <hyperlink xmlns:r="http://schemas.openxmlformats.org/officeDocument/2006/relationships" ref="F127" r:id="rId368"/>
    <hyperlink xmlns:r="http://schemas.openxmlformats.org/officeDocument/2006/relationships" ref="G127" r:id="rId369"/>
    <hyperlink xmlns:r="http://schemas.openxmlformats.org/officeDocument/2006/relationships" ref="L127" r:id="rId37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K67"/>
  <sheetViews>
    <sheetView showGridLines="0" workbookViewId="0">
      <pane ySplit="3" topLeftCell="A4" activePane="bottomLeft" state="frozen"/>
      <selection pane="bottomLeft" activeCell="A1" sqref="A1"/>
    </sheetView>
  </sheetViews>
  <sheetFormatPr baseColWidth="8" defaultRowHeight="15"/>
  <cols>
    <col width="26" customWidth="1" min="1" max="1"/>
    <col width="17" customWidth="1" min="2" max="2"/>
    <col width="45" customWidth="1" min="3" max="3"/>
    <col width="45" customWidth="1" min="4" max="4"/>
    <col width="45" customWidth="1" min="5" max="5"/>
    <col width="14" customWidth="1" min="6" max="6"/>
    <col width="10" customWidth="1" min="7" max="7"/>
    <col width="10" customWidth="1" min="8" max="8"/>
    <col width="45" customWidth="1" min="9" max="9"/>
    <col width="12" customWidth="1" min="10" max="10"/>
    <col width="13" customWidth="1" min="11" max="11"/>
    <col width="20" customWidth="1" min="12" max="12"/>
    <col width="29" customWidth="1" min="13" max="13"/>
    <col width="32" customWidth="1" min="14" max="14"/>
    <col width="45" customWidth="1" min="15" max="15"/>
    <col width="16" customWidth="1" min="16" max="16"/>
    <col width="12" customWidth="1" min="17" max="17"/>
    <col width="11" customWidth="1" min="18" max="18"/>
    <col width="15" customWidth="1" min="19" max="19"/>
    <col width="16" customWidth="1" min="20" max="20"/>
    <col width="45" customWidth="1" min="21" max="21"/>
    <col width="45" customWidth="1" min="22" max="22"/>
    <col width="16" customWidth="1" min="23" max="23"/>
    <col width="45" customWidth="1" min="24" max="24"/>
    <col width="45" customWidth="1" min="25" max="25"/>
    <col width="45" customWidth="1" min="26" max="26"/>
    <col width="33" customWidth="1" min="27" max="27"/>
    <col width="17" customWidth="1" min="28" max="28"/>
    <col width="21" customWidth="1" min="29" max="29"/>
    <col width="45" customWidth="1" min="30" max="30"/>
    <col width="20" customWidth="1" min="31" max="31"/>
    <col width="45" customWidth="1" min="32" max="32"/>
    <col width="14" customWidth="1" min="33" max="33"/>
    <col width="14" customWidth="1" min="34" max="34"/>
    <col width="14" customWidth="1" min="35" max="35"/>
    <col width="12" customWidth="1" min="36" max="36"/>
    <col width="15" customWidth="1" min="37" max="37"/>
  </cols>
  <sheetData>
    <row r="1">
      <c r="A1" s="1" t="inlineStr">
        <is>
          <t>CRM - imported exactly as sourced, plus live linkage/completeness formulas (right-most 5 columns).</t>
        </is>
      </c>
    </row>
    <row r="3">
      <c r="A3" s="2" t="inlineStr">
        <is>
          <t>slug</t>
        </is>
      </c>
      <c r="B3" s="3" t="inlineStr">
        <is>
          <t>import_decision</t>
        </is>
      </c>
      <c r="C3" s="3" t="inlineStr">
        <is>
          <t>business_name</t>
        </is>
      </c>
      <c r="D3" s="3" t="inlineStr">
        <is>
          <t>location_name</t>
        </is>
      </c>
      <c r="E3" s="3" t="inlineStr">
        <is>
          <t>address</t>
        </is>
      </c>
      <c r="F3" s="3" t="inlineStr">
        <is>
          <t>city</t>
        </is>
      </c>
      <c r="G3" s="3" t="inlineStr">
        <is>
          <t>state</t>
        </is>
      </c>
      <c r="H3" s="3" t="inlineStr">
        <is>
          <t>zip</t>
        </is>
      </c>
      <c r="I3" s="3" t="inlineStr">
        <is>
          <t>neighborhood</t>
        </is>
      </c>
      <c r="J3" s="3" t="inlineStr">
        <is>
          <t>latitude</t>
        </is>
      </c>
      <c r="K3" s="3" t="inlineStr">
        <is>
          <t>longitude</t>
        </is>
      </c>
      <c r="L3" s="3" t="inlineStr">
        <is>
          <t>hours</t>
        </is>
      </c>
      <c r="M3" s="3" t="inlineStr">
        <is>
          <t>hours_note</t>
        </is>
      </c>
      <c r="N3" s="3" t="inlineStr">
        <is>
          <t>quest_title</t>
        </is>
      </c>
      <c r="O3" s="3" t="inlineStr">
        <is>
          <t>quest_description</t>
        </is>
      </c>
      <c r="P3" s="3" t="inlineStr">
        <is>
          <t>quest_category</t>
        </is>
      </c>
      <c r="Q3" s="3" t="inlineStr">
        <is>
          <t>difficulty</t>
        </is>
      </c>
      <c r="R3" s="3" t="inlineStr">
        <is>
          <t>xp_reward</t>
        </is>
      </c>
      <c r="S3" s="3" t="inlineStr">
        <is>
          <t>points_reward</t>
        </is>
      </c>
      <c r="T3" s="3" t="inlineStr">
        <is>
          <t>estimated_time</t>
        </is>
      </c>
      <c r="U3" s="3" t="inlineStr">
        <is>
          <t>quest_objective</t>
        </is>
      </c>
      <c r="V3" s="3" t="inlineStr">
        <is>
          <t>funky_action</t>
        </is>
      </c>
      <c r="W3" s="3" t="inlineStr">
        <is>
          <t>hero_image_url</t>
        </is>
      </c>
      <c r="X3" s="3" t="inlineStr">
        <is>
          <t>website_url</t>
        </is>
      </c>
      <c r="Y3" s="3" t="inlineStr">
        <is>
          <t>google_reviews_url</t>
        </is>
      </c>
      <c r="Z3" s="3" t="inlineStr">
        <is>
          <t>instagram_url</t>
        </is>
      </c>
      <c r="AA3" s="3" t="inlineStr">
        <is>
          <t>contact_email</t>
        </is>
      </c>
      <c r="AB3" s="3" t="inlineStr">
        <is>
          <t>business_status</t>
        </is>
      </c>
      <c r="AC3" s="3" t="inlineStr">
        <is>
          <t>verification_status</t>
        </is>
      </c>
      <c r="AD3" s="3" t="inlineStr">
        <is>
          <t>verification_sources</t>
        </is>
      </c>
      <c r="AE3" s="3" t="inlineStr">
        <is>
          <t>last_verified_date</t>
        </is>
      </c>
      <c r="AF3" s="3" t="inlineStr">
        <is>
          <t>notes</t>
        </is>
      </c>
      <c r="AG3" s="5" t="inlineStr">
        <is>
          <t>Partner Linked?</t>
        </is>
      </c>
      <c r="AH3" s="5" t="inlineStr">
        <is>
          <t>Venue Linked?</t>
        </is>
      </c>
      <c r="AI3" s="5" t="inlineStr">
        <is>
          <t>Quest Linked?</t>
        </is>
      </c>
      <c r="AJ3" s="5" t="inlineStr">
        <is>
          <t>Complete?</t>
        </is>
      </c>
      <c r="AK3" s="5" t="inlineStr">
        <is>
          <t>Needs Outreach?</t>
        </is>
      </c>
    </row>
    <row r="4" ht="64" customHeight="1">
      <c r="A4" s="6" t="inlineStr">
        <is>
          <t>panther-coffee-wynwood</t>
        </is>
      </c>
      <c r="B4" s="6" t="inlineStr">
        <is>
          <t>import</t>
        </is>
      </c>
      <c r="C4" s="6" t="inlineStr">
        <is>
          <t>Panther Coffee</t>
        </is>
      </c>
      <c r="D4" s="6" t="inlineStr">
        <is>
          <t>Panther Coffee - Wynwood</t>
        </is>
      </c>
      <c r="E4" s="6" t="inlineStr">
        <is>
          <t>2390 NW 2nd Ave</t>
        </is>
      </c>
      <c r="F4" s="6" t="inlineStr">
        <is>
          <t>Miami</t>
        </is>
      </c>
      <c r="G4" s="6" t="inlineStr">
        <is>
          <t>FL</t>
        </is>
      </c>
      <c r="H4" s="6" t="inlineStr">
        <is>
          <t>33127</t>
        </is>
      </c>
      <c r="I4" s="6" t="inlineStr">
        <is>
          <t>Wynwood</t>
        </is>
      </c>
      <c r="J4" s="8" t="n">
        <v>25.79994</v>
      </c>
      <c r="K4" s="8" t="n">
        <v>-80.199245</v>
      </c>
      <c r="L4" s="6" t="n"/>
      <c r="M4" s="6" t="n"/>
      <c r="N4" s="6" t="inlineStr">
        <is>
          <t>The Wynwood Original</t>
        </is>
      </c>
      <c r="O4" s="11" t="inlineStr">
        <is>
          <t>Joel and Leticia Pollock opened this flagship in 2010, long before the murals made Wynwood world-famous. Miami's local coffee scene grew up right here — come see where it started.</t>
        </is>
      </c>
      <c r="P4" s="6" t="inlineStr">
        <is>
          <t>food</t>
        </is>
      </c>
      <c r="Q4" s="6" t="inlineStr">
        <is>
          <t>easy</t>
        </is>
      </c>
      <c r="R4" s="10" t="n">
        <v>50</v>
      </c>
      <c r="S4" s="10" t="n">
        <v>25</v>
      </c>
      <c r="T4" s="6" t="inlineStr">
        <is>
          <t>5–10 min</t>
        </is>
      </c>
      <c r="U4" s="11" t="inlineStr">
        <is>
          <t>Step inside Panther's Wynwood flagship, find the panther wherever it appears, and snap a photo with it.</t>
        </is>
      </c>
      <c r="V4" s="6" t="inlineStr">
        <is>
          <t>Give your best (quiet) panther growl before your first sip or your final photo.</t>
        </is>
      </c>
      <c r="W4" s="6" t="n"/>
      <c r="X4" s="6" t="inlineStr">
        <is>
          <t>https://panthercoffee.com/</t>
        </is>
      </c>
      <c r="Y4" s="6" t="inlineStr">
        <is>
          <t>https://www.google.com/search?q=Panther+Coffee+Wynwood+2390+NW+2nd+Ave+Miami+reviews</t>
        </is>
      </c>
      <c r="Z4" s="6" t="inlineStr">
        <is>
          <t>https://www.instagram.com/panthercoffee/</t>
        </is>
      </c>
      <c r="AA4" s="6" t="inlineStr">
        <is>
          <t>info@panthercoffee.com</t>
        </is>
      </c>
      <c r="AB4" s="6" t="inlineStr">
        <is>
          <t>active</t>
        </is>
      </c>
      <c r="AC4" s="6" t="inlineStr">
        <is>
          <t>verified</t>
        </is>
      </c>
      <c r="AD4" s="11" t="inlineStr">
        <is>
          <t>Official site panthercoffee.com + Yelp/Apple Maps listings, checked 2026-07-07</t>
        </is>
      </c>
      <c r="AE4" s="6" t="inlineStr">
        <is>
          <t>2026-07-07</t>
        </is>
      </c>
      <c r="AF4" s="11" t="inlineStr">
        <is>
          <t>Decision maker: General Manager / Founder; Contact: info@panthercoffee.com. Founded 2010 by Joel and Leticia Pollock; Wynwood flagship confirmed active with recent reviews (Yelp updated June 2026). Panther Coffee also has other MIA-area locations (Miami Beach location shows CLOSED on Yelp, unrelated to Wynwood flagship).</t>
        </is>
      </c>
      <c r="AG4" s="7">
        <f>AI4</f>
        <v/>
      </c>
      <c r="AH4" s="7">
        <f>AI4</f>
        <v/>
      </c>
      <c r="AI4" s="7">
        <f>IF(COUNTIF(Quests!$D$4:$D$65,A4)&gt;0,"Yes","No")</f>
        <v/>
      </c>
      <c r="AJ4" s="19">
        <f>IF(AND(AB4="active",AC4="verified",X4&lt;&gt;"",Y4&lt;&gt;"",Z4&lt;&gt;"",W4&lt;&gt;""),"Yes","No")</f>
        <v/>
      </c>
      <c r="AK4" s="7">
        <f>IF(OR(B4="manual_review",Z4="",X4="",AC4&lt;&gt;"verified"),"Yes","No")</f>
        <v/>
      </c>
    </row>
    <row r="5" ht="79" customHeight="1">
      <c r="A5" s="13" t="inlineStr">
        <is>
          <t>vice-city-bean-edgewater</t>
        </is>
      </c>
      <c r="B5" s="13" t="inlineStr">
        <is>
          <t>import</t>
        </is>
      </c>
      <c r="C5" s="13" t="inlineStr">
        <is>
          <t>Vice City Bean</t>
        </is>
      </c>
      <c r="D5" s="13" t="inlineStr">
        <is>
          <t>Vice City Bean</t>
        </is>
      </c>
      <c r="E5" s="13" t="inlineStr">
        <is>
          <t>1657 N Miami Ave, Unit C</t>
        </is>
      </c>
      <c r="F5" s="13" t="inlineStr">
        <is>
          <t>Miami</t>
        </is>
      </c>
      <c r="G5" s="13" t="inlineStr">
        <is>
          <t>FL</t>
        </is>
      </c>
      <c r="H5" s="13" t="inlineStr">
        <is>
          <t>33136</t>
        </is>
      </c>
      <c r="I5" s="13" t="inlineStr">
        <is>
          <t>Edgewater</t>
        </is>
      </c>
      <c r="J5" s="14" t="n">
        <v>25.791406</v>
      </c>
      <c r="K5" s="14" t="n">
        <v>-80.19430199999999</v>
      </c>
      <c r="L5" s="13" t="n"/>
      <c r="M5" s="13" t="n"/>
      <c r="N5" s="13" t="inlineStr">
        <is>
          <t>Flagship of Vice City</t>
        </is>
      </c>
      <c r="O5" s="17" t="inlineStr">
        <is>
          <t>Tucked between Downtown and Wynwood in the Arts &amp; Entertainment District, this is the flagship of a homegrown three-shop Miami coffee family. Blink on N Miami Ave and you'll miss it.</t>
        </is>
      </c>
      <c r="P5" s="13" t="inlineStr">
        <is>
          <t>food</t>
        </is>
      </c>
      <c r="Q5" s="13" t="inlineStr">
        <is>
          <t>easy</t>
        </is>
      </c>
      <c r="R5" s="16" t="n">
        <v>50</v>
      </c>
      <c r="S5" s="16" t="n">
        <v>25</v>
      </c>
      <c r="T5" s="13" t="inlineStr">
        <is>
          <t>5–10 min</t>
        </is>
      </c>
      <c r="U5" s="17" t="inlineStr">
        <is>
          <t>Find Vice City Bean's flagship on N Miami Ave and claim the seat with the best people-watching.</t>
        </is>
      </c>
      <c r="V5" s="13" t="inlineStr">
        <is>
          <t>Strike your most 'Vice City' pose for the camera — sunglasses optional but encouraged.</t>
        </is>
      </c>
      <c r="W5" s="13" t="n"/>
      <c r="X5" s="13" t="inlineStr">
        <is>
          <t>https://vicecitybean.com/</t>
        </is>
      </c>
      <c r="Y5" s="13" t="inlineStr">
        <is>
          <t>https://www.google.com/search?q=Vice+City+Bean+1657+N+Miami+Ave+reviews</t>
        </is>
      </c>
      <c r="Z5" s="13" t="inlineStr">
        <is>
          <t>https://www.instagram.com/vicecitybean/</t>
        </is>
      </c>
      <c r="AA5" s="13" t="inlineStr">
        <is>
          <t>hello@vicecitybean.com</t>
        </is>
      </c>
      <c r="AB5" s="13" t="inlineStr">
        <is>
          <t>active</t>
        </is>
      </c>
      <c r="AC5" s="13" t="inlineStr">
        <is>
          <t>verified</t>
        </is>
      </c>
      <c r="AD5" s="17" t="inlineStr">
        <is>
          <t>Official site vicecitybean.com + Yelp/Apple Maps listing, checked 2026-07-07</t>
        </is>
      </c>
      <c r="AE5" s="13" t="inlineStr">
        <is>
          <t>2026-07-07</t>
        </is>
      </c>
      <c r="AF5" s="17" t="inlineStr">
        <is>
          <t>Decision maker: Owner; Contact: hello@vicecitybean.com. Input neighborhood 'Downtown/Edgewater' normalized to Edgewater; often described as the 'Arts &amp; Entertainment District' between Downtown and Wynwood. Business operates 3 locations (this flagship, Brickell, and The Citadel food hall) - flagship confirmed active, Yelp updated April 2026.</t>
        </is>
      </c>
      <c r="AG5" s="7">
        <f>AI5</f>
        <v/>
      </c>
      <c r="AH5" s="7">
        <f>AI5</f>
        <v/>
      </c>
      <c r="AI5" s="7">
        <f>IF(COUNTIF(Quests!$D$4:$D$65,A5)&gt;0,"Yes","No")</f>
        <v/>
      </c>
      <c r="AJ5" s="19">
        <f>IF(AND(AB5="active",AC5="verified",X5&lt;&gt;"",Y5&lt;&gt;"",Z5&lt;&gt;"",W5&lt;&gt;""),"Yes","No")</f>
        <v/>
      </c>
      <c r="AK5" s="7">
        <f>IF(OR(B5="manual_review",Z5="",X5="",AC5&lt;&gt;"verified"),"Yes","No")</f>
        <v/>
      </c>
    </row>
    <row r="6" ht="79" customHeight="1">
      <c r="A6" s="6" t="inlineStr">
        <is>
          <t>salty-donut-wynwood</t>
        </is>
      </c>
      <c r="B6" s="6" t="inlineStr">
        <is>
          <t>import</t>
        </is>
      </c>
      <c r="C6" s="6" t="inlineStr">
        <is>
          <t>The Salty Donut</t>
        </is>
      </c>
      <c r="D6" s="6" t="inlineStr">
        <is>
          <t>The Salty Donut - Wynwood</t>
        </is>
      </c>
      <c r="E6" s="6" t="inlineStr">
        <is>
          <t>50 NW 24th St, Unit 106</t>
        </is>
      </c>
      <c r="F6" s="6" t="inlineStr">
        <is>
          <t>Miami</t>
        </is>
      </c>
      <c r="G6" s="6" t="inlineStr">
        <is>
          <t>FL</t>
        </is>
      </c>
      <c r="H6" s="6" t="inlineStr">
        <is>
          <t>33127</t>
        </is>
      </c>
      <c r="I6" s="6" t="inlineStr">
        <is>
          <t>Wynwood</t>
        </is>
      </c>
      <c r="J6" s="8" t="n">
        <v>25.7994517</v>
      </c>
      <c r="K6" s="8" t="n">
        <v>-80.1960754</v>
      </c>
      <c r="L6" s="6" t="n"/>
      <c r="M6" s="6" t="n"/>
      <c r="N6" s="6" t="inlineStr">
        <is>
          <t>Donuts, Coffee, Vibes</t>
        </is>
      </c>
      <c r="O6" s="11" t="inlineStr">
        <is>
          <t>The brand's own motto is 'donuts, coffee, vibes' — and the Wynwood shop is where Miami checks all three boxes. The lineup changes, which is exactly the fun of it.</t>
        </is>
      </c>
      <c r="P6" s="6" t="inlineStr">
        <is>
          <t>food</t>
        </is>
      </c>
      <c r="Q6" s="6" t="inlineStr">
        <is>
          <t>easy</t>
        </is>
      </c>
      <c r="R6" s="10" t="n">
        <v>50</v>
      </c>
      <c r="S6" s="10" t="n">
        <v>25</v>
      </c>
      <c r="T6" s="6" t="inlineStr">
        <is>
          <t>5–10 min</t>
        </is>
      </c>
      <c r="U6" s="11" t="inlineStr">
        <is>
          <t>Find today's donut lineup and photograph the flavor you'd cross town for.</t>
        </is>
      </c>
      <c r="V6" s="6" t="inlineStr">
        <is>
          <t>Rank your top three flavors out loud with whoever is next to you.</t>
        </is>
      </c>
      <c r="W6" s="6" t="n"/>
      <c r="X6" s="6" t="inlineStr">
        <is>
          <t>https://www.saltydonut.com/locations/wynwood</t>
        </is>
      </c>
      <c r="Y6" s="6" t="inlineStr">
        <is>
          <t>https://www.google.com/search?q=The+Salty+Donut+Wynwood+50+NW+24th+St+Miami+reviews</t>
        </is>
      </c>
      <c r="Z6" s="6" t="inlineStr">
        <is>
          <t>https://www.instagram.com/thesaltydonut/</t>
        </is>
      </c>
      <c r="AA6" s="6" t="inlineStr">
        <is>
          <t>media@saltydonut.com</t>
        </is>
      </c>
      <c r="AB6" s="6" t="inlineStr">
        <is>
          <t>active</t>
        </is>
      </c>
      <c r="AC6" s="6" t="inlineStr">
        <is>
          <t>verified</t>
        </is>
      </c>
      <c r="AD6" s="11" t="inlineStr">
        <is>
          <t>Official site saltydonut.com + Yelp listing, checked 2026-07-07</t>
        </is>
      </c>
      <c r="AE6" s="6" t="inlineStr">
        <is>
          <t>2026-07-07</t>
        </is>
      </c>
      <c r="AF6" s="11" t="inlineStr">
        <is>
          <t>Decision maker: Marketing Director; Contact: media@saltydonut.com. Brand's parent site now uses 'THE SALTY' branding (saltydonut.com homepage says 'THE SALTY - DONUTS, COFFEE, VIBES') but Wynwood store still operates/is listed as 'The Salty Donut'; multiple other city locations exist. Yelp updated July 2026, confirmed active.</t>
        </is>
      </c>
      <c r="AG6" s="7">
        <f>AI6</f>
        <v/>
      </c>
      <c r="AH6" s="7">
        <f>AI6</f>
        <v/>
      </c>
      <c r="AI6" s="7">
        <f>IF(COUNTIF(Quests!$D$4:$D$65,A6)&gt;0,"Yes","No")</f>
        <v/>
      </c>
      <c r="AJ6" s="19">
        <f>IF(AND(AB6="active",AC6="verified",X6&lt;&gt;"",Y6&lt;&gt;"",Z6&lt;&gt;"",W6&lt;&gt;""),"Yes","No")</f>
        <v/>
      </c>
      <c r="AK6" s="7">
        <f>IF(OR(B6="manual_review",Z6="",X6="",AC6&lt;&gt;"verified"),"Yes","No")</f>
        <v/>
      </c>
    </row>
    <row r="7" ht="64" customHeight="1">
      <c r="A7" s="13" t="inlineStr">
        <is>
          <t>threefold-cafe-coral-gables</t>
        </is>
      </c>
      <c r="B7" s="13" t="inlineStr">
        <is>
          <t>import</t>
        </is>
      </c>
      <c r="C7" s="13" t="inlineStr">
        <is>
          <t>Threefold Cafe</t>
        </is>
      </c>
      <c r="D7" s="13" t="inlineStr">
        <is>
          <t>Threefold Cafe</t>
        </is>
      </c>
      <c r="E7" s="13" t="inlineStr">
        <is>
          <t>141 Giralda Ave</t>
        </is>
      </c>
      <c r="F7" s="13" t="inlineStr">
        <is>
          <t>Coral Gables</t>
        </is>
      </c>
      <c r="G7" s="13" t="inlineStr">
        <is>
          <t>FL</t>
        </is>
      </c>
      <c r="H7" s="13" t="inlineStr">
        <is>
          <t>33134</t>
        </is>
      </c>
      <c r="I7" s="13" t="inlineStr">
        <is>
          <t>Coral Gables</t>
        </is>
      </c>
      <c r="J7" s="14" t="n">
        <v>25.7514197</v>
      </c>
      <c r="K7" s="14" t="n">
        <v>-80.257631</v>
      </c>
      <c r="L7" s="13" t="n"/>
      <c r="M7" s="13" t="n"/>
      <c r="N7" s="13" t="inlineStr">
        <is>
          <t>Down Under on Giralda</t>
        </is>
      </c>
      <c r="O7" s="17" t="inlineStr">
        <is>
          <t>Nick and Teresa brought Australian café culture to Coral Gables in 2014, and Giralda Avenue hasn't been the same since. Come find the Aussie accent hiding on a Spanish-named street.</t>
        </is>
      </c>
      <c r="P7" s="13" t="inlineStr">
        <is>
          <t>food</t>
        </is>
      </c>
      <c r="Q7" s="13" t="inlineStr">
        <is>
          <t>easy</t>
        </is>
      </c>
      <c r="R7" s="16" t="n">
        <v>50</v>
      </c>
      <c r="S7" s="16" t="n">
        <v>25</v>
      </c>
      <c r="T7" s="13" t="inlineStr">
        <is>
          <t>5–10 min</t>
        </is>
      </c>
      <c r="U7" s="17" t="inlineStr">
        <is>
          <t>Find Threefold on Giralda Ave and spot one unmistakably Australian touch on the menu or in the room.</t>
        </is>
      </c>
      <c r="V7" s="13" t="inlineStr">
        <is>
          <t>Say 'flat white' in your best Australian accent — ordering one is entirely optional.</t>
        </is>
      </c>
      <c r="W7" s="13" t="n"/>
      <c r="X7" s="13" t="inlineStr">
        <is>
          <t>https://www.threefoldcafe.com/</t>
        </is>
      </c>
      <c r="Y7" s="13" t="inlineStr">
        <is>
          <t>https://www.google.com/search?q=Threefold+Cafe+141+Giralda+Ave+Coral+Gables+reviews</t>
        </is>
      </c>
      <c r="Z7" s="13" t="inlineStr">
        <is>
          <t>https://www.instagram.com/threefoldcafe/</t>
        </is>
      </c>
      <c r="AA7" s="13" t="inlineStr">
        <is>
          <t>info@threefoldcafe.com</t>
        </is>
      </c>
      <c r="AB7" s="13" t="inlineStr">
        <is>
          <t>active</t>
        </is>
      </c>
      <c r="AC7" s="13" t="inlineStr">
        <is>
          <t>verified</t>
        </is>
      </c>
      <c r="AD7" s="17" t="inlineStr">
        <is>
          <t>Official site threefoldcafe.com + Yelp listing, checked 2026-07-07</t>
        </is>
      </c>
      <c r="AE7" s="13" t="inlineStr">
        <is>
          <t>2026-07-07</t>
        </is>
      </c>
      <c r="AF7" s="17" t="inlineStr">
        <is>
          <t>Decision maker: Owner / Operator; Contact: info@threefoldcafe.com. Australian-inspired cafe opened 2014 by Nick and Teresa. Yelp updated July 2026, confirmed active. Coordinates not found via a reliable source (no Wikipedia/schema.org/map-embed match), left null rather than estimated.</t>
        </is>
      </c>
      <c r="AG7" s="7">
        <f>AI7</f>
        <v/>
      </c>
      <c r="AH7" s="7">
        <f>AI7</f>
        <v/>
      </c>
      <c r="AI7" s="7">
        <f>IF(COUNTIF(Quests!$D$4:$D$65,A7)&gt;0,"Yes","No")</f>
        <v/>
      </c>
      <c r="AJ7" s="19">
        <f>IF(AND(AB7="active",AC7="verified",X7&lt;&gt;"",Y7&lt;&gt;"",Z7&lt;&gt;"",W7&lt;&gt;""),"Yes","No")</f>
        <v/>
      </c>
      <c r="AK7" s="7">
        <f>IF(OR(B7="manual_review",Z7="",X7="",AC7&lt;&gt;"verified"),"Yes","No")</f>
        <v/>
      </c>
    </row>
    <row r="8" ht="79" customHeight="1">
      <c r="A8" s="6" t="inlineStr">
        <is>
          <t>imperial-moto-little-river</t>
        </is>
      </c>
      <c r="B8" s="6" t="inlineStr">
        <is>
          <t>import</t>
        </is>
      </c>
      <c r="C8" s="6" t="inlineStr">
        <is>
          <t>Imperial Moto</t>
        </is>
      </c>
      <c r="D8" s="6" t="inlineStr">
        <is>
          <t>Imperial Moto Cafe - Little River</t>
        </is>
      </c>
      <c r="E8" s="6" t="inlineStr">
        <is>
          <t>7299 NW 2nd Ave</t>
        </is>
      </c>
      <c r="F8" s="6" t="inlineStr">
        <is>
          <t>Miami</t>
        </is>
      </c>
      <c r="G8" s="6" t="inlineStr">
        <is>
          <t>FL</t>
        </is>
      </c>
      <c r="H8" s="6" t="inlineStr">
        <is>
          <t>33150</t>
        </is>
      </c>
      <c r="I8" s="6" t="inlineStr">
        <is>
          <t>Little River</t>
        </is>
      </c>
      <c r="J8" s="8" t="n">
        <v>25.8421983</v>
      </c>
      <c r="K8" s="8" t="n">
        <v>-80.2005557</v>
      </c>
      <c r="L8" s="6" t="n"/>
      <c r="M8" s="6" t="n"/>
      <c r="N8" s="6" t="inlineStr">
        <is>
          <t>Full Throttle Coffee</t>
        </is>
      </c>
      <c r="O8" s="11" t="inlineStr">
        <is>
          <t>Imperial Moto's headquarters sits in Little River — not Wynwood, as many assume — and it's the flagship of a café brand that has ridden all the way to Aventura and St. Barths. Motorcycles and espresso, together at last.</t>
        </is>
      </c>
      <c r="P8" s="6" t="inlineStr">
        <is>
          <t>food</t>
        </is>
      </c>
      <c r="Q8" s="6" t="inlineStr">
        <is>
          <t>easy</t>
        </is>
      </c>
      <c r="R8" s="10" t="n">
        <v>50</v>
      </c>
      <c r="S8" s="10" t="n">
        <v>25</v>
      </c>
      <c r="T8" s="6" t="inlineStr">
        <is>
          <t>5–10 min</t>
        </is>
      </c>
      <c r="U8" s="11" t="inlineStr">
        <is>
          <t>Find Imperial Moto's Little River headquarters and photograph the most motorcycle thing you can find.</t>
        </is>
      </c>
      <c r="V8" s="6" t="inlineStr">
        <is>
          <t>Do a subtle engine rev with your wrist as you walk in. Vroom responsibly.</t>
        </is>
      </c>
      <c r="W8" s="6" t="n"/>
      <c r="X8" s="6" t="inlineStr">
        <is>
          <t>https://www.imperialmoto.com/</t>
        </is>
      </c>
      <c r="Y8" s="6" t="inlineStr">
        <is>
          <t>https://www.google.com/search?q=Imperial+Moto+Cafe+7299+NW+2nd+Ave+Miami+reviews</t>
        </is>
      </c>
      <c r="Z8" s="6" t="inlineStr">
        <is>
          <t>https://www.instagram.com/imperialmoto/</t>
        </is>
      </c>
      <c r="AA8" s="6" t="inlineStr">
        <is>
          <t>hello@imperialmoto.com</t>
        </is>
      </c>
      <c r="AB8" s="6" t="inlineStr">
        <is>
          <t>active</t>
        </is>
      </c>
      <c r="AC8" s="6" t="inlineStr">
        <is>
          <t>verified</t>
        </is>
      </c>
      <c r="AD8" s="11" t="inlineStr">
        <is>
          <t>Official site imperialmoto.com + Yelp listing, checked 2026-07-07; neighborhood corrected from input</t>
        </is>
      </c>
      <c r="AE8" s="6" t="inlineStr">
        <is>
          <t>2026-07-07</t>
        </is>
      </c>
      <c r="AF8" s="11" t="inlineStr">
        <is>
          <t>Decision maker: Founder; Contact: hello@imperialmoto.com. CORRECTION: input listed neighborhood as 'Wynwood' but the flagship/headquarters location is in Little River, not Wynwood (confirmed via imperialmoto.com/pages/little-river and Yelp/Timeout listings). Brand has grown to ~4 locations (Little River HQ, Aventura Mall, Oakland Park, St. Barths). Yelp updated June 2026, confirmed active.</t>
        </is>
      </c>
      <c r="AG8" s="7">
        <f>AI8</f>
        <v/>
      </c>
      <c r="AH8" s="7">
        <f>AI8</f>
        <v/>
      </c>
      <c r="AI8" s="7">
        <f>IF(COUNTIF(Quests!$D$4:$D$65,A8)&gt;0,"Yes","No")</f>
        <v/>
      </c>
      <c r="AJ8" s="19">
        <f>IF(AND(AB8="active",AC8="verified",X8&lt;&gt;"",Y8&lt;&gt;"",Z8&lt;&gt;"",W8&lt;&gt;""),"Yes","No")</f>
        <v/>
      </c>
      <c r="AK8" s="7">
        <f>IF(OR(B8="manual_review",Z8="",X8="",AC8&lt;&gt;"verified"),"Yes","No")</f>
        <v/>
      </c>
    </row>
    <row r="9" ht="79" customHeight="1">
      <c r="A9" s="13" t="inlineStr">
        <is>
          <t>brewing-buddha-pinecrest</t>
        </is>
      </c>
      <c r="B9" s="13" t="inlineStr">
        <is>
          <t>import</t>
        </is>
      </c>
      <c r="C9" s="13" t="inlineStr">
        <is>
          <t>Brewing Buddha Cafe &amp; Arthouse</t>
        </is>
      </c>
      <c r="D9" s="13" t="inlineStr">
        <is>
          <t>Brewing Buddha Cafe &amp; Arthouse</t>
        </is>
      </c>
      <c r="E9" s="13" t="inlineStr">
        <is>
          <t>8219 SW 124th St</t>
        </is>
      </c>
      <c r="F9" s="13" t="inlineStr">
        <is>
          <t>Pinecrest</t>
        </is>
      </c>
      <c r="G9" s="13" t="inlineStr">
        <is>
          <t>FL</t>
        </is>
      </c>
      <c r="H9" s="13" t="inlineStr">
        <is>
          <t>33156</t>
        </is>
      </c>
      <c r="I9" s="13" t="inlineStr">
        <is>
          <t>Pinecrest</t>
        </is>
      </c>
      <c r="J9" s="14" t="n">
        <v>25.6554818</v>
      </c>
      <c r="K9" s="14" t="n">
        <v>-80.3268453</v>
      </c>
      <c r="L9" s="13" t="n"/>
      <c r="M9" s="13" t="n"/>
      <c r="N9" s="13" t="inlineStr">
        <is>
          <t>The Buddha's Gallery</t>
        </is>
      </c>
      <c r="O9" s="17" t="inlineStr">
        <is>
          <t>Brothers Jordan and Cassidy Athos opened this café-meets-arthouse in Pinecrest in 2017. Half the room runs on caffeine, the other half on creativity — explore both.</t>
        </is>
      </c>
      <c r="P9" s="13" t="inlineStr">
        <is>
          <t>food</t>
        </is>
      </c>
      <c r="Q9" s="13" t="inlineStr">
        <is>
          <t>easy</t>
        </is>
      </c>
      <c r="R9" s="16" t="n">
        <v>50</v>
      </c>
      <c r="S9" s="16" t="n">
        <v>25</v>
      </c>
      <c r="T9" s="13" t="inlineStr">
        <is>
          <t>5–10 min</t>
        </is>
      </c>
      <c r="U9" s="17" t="inlineStr">
        <is>
          <t>Explore the arthouse side of the café and photograph the artwork that speaks to you most.</t>
        </is>
      </c>
      <c r="V9" s="13" t="inlineStr">
        <is>
          <t>Hold a ten-second zen pose in front of your favorite piece.</t>
        </is>
      </c>
      <c r="W9" s="13" t="n"/>
      <c r="X9" s="13" t="inlineStr">
        <is>
          <t>https://www.brewingbuddha.com/</t>
        </is>
      </c>
      <c r="Y9" s="13" t="inlineStr">
        <is>
          <t>https://www.google.com/search?q=Brewing+Buddha+Cafe+8219+SW+124th+St+Pinecrest+reviews</t>
        </is>
      </c>
      <c r="Z9" s="13" t="inlineStr">
        <is>
          <t>https://www.instagram.com/brewingbuddha/</t>
        </is>
      </c>
      <c r="AA9" s="13" t="inlineStr">
        <is>
          <t>brewingbuddha@gmail.com</t>
        </is>
      </c>
      <c r="AB9" s="13" t="inlineStr">
        <is>
          <t>active</t>
        </is>
      </c>
      <c r="AC9" s="13" t="inlineStr">
        <is>
          <t>verified</t>
        </is>
      </c>
      <c r="AD9" s="17" t="inlineStr">
        <is>
          <t>Official site brewingbuddha.com + Yelp/Miami New Times, checked 2026-07-07; municipality corrected to Pinecrest</t>
        </is>
      </c>
      <c r="AE9" s="13" t="inlineStr">
        <is>
          <t>2026-07-07</t>
        </is>
      </c>
      <c r="AF9" s="17" t="inlineStr">
        <is>
          <t>Decision maker: Owner; Contact: brewingbuddha@gmail.com. Full legal/DBA name is 'Brewing Buddha Cafe &amp; Arthouse'. Input neighborhood 'South Miami / Suburban' is close but the actual municipality is Pinecrest, FL (per Miami New Times and mailing address), not the separate city of South Miami. Owned by brothers Jordan and Cassidy Athos, opened 2017. Yelp updated May 2026, confirmed active.</t>
        </is>
      </c>
      <c r="AG9" s="7">
        <f>AI9</f>
        <v/>
      </c>
      <c r="AH9" s="7">
        <f>AI9</f>
        <v/>
      </c>
      <c r="AI9" s="7">
        <f>IF(COUNTIF(Quests!$D$4:$D$65,A9)&gt;0,"Yes","No")</f>
        <v/>
      </c>
      <c r="AJ9" s="19">
        <f>IF(AND(AB9="active",AC9="verified",X9&lt;&gt;"",Y9&lt;&gt;"",Z9&lt;&gt;"",W9&lt;&gt;""),"Yes","No")</f>
        <v/>
      </c>
      <c r="AK9" s="7">
        <f>IF(OR(B9="manual_review",Z9="",X9="",AC9&lt;&gt;"verified"),"Yes","No")</f>
        <v/>
      </c>
    </row>
    <row r="10" ht="79" customHeight="1">
      <c r="A10" s="6" t="inlineStr">
        <is>
          <t>sweat-records-little-haiti</t>
        </is>
      </c>
      <c r="B10" s="6" t="inlineStr">
        <is>
          <t>import</t>
        </is>
      </c>
      <c r="C10" s="6" t="inlineStr">
        <is>
          <t>Sweat Records</t>
        </is>
      </c>
      <c r="D10" s="6" t="inlineStr">
        <is>
          <t>Sweat Records</t>
        </is>
      </c>
      <c r="E10" s="6" t="inlineStr">
        <is>
          <t>5505 NE 2nd Ave</t>
        </is>
      </c>
      <c r="F10" s="6" t="inlineStr">
        <is>
          <t>Miami</t>
        </is>
      </c>
      <c r="G10" s="6" t="inlineStr">
        <is>
          <t>FL</t>
        </is>
      </c>
      <c r="H10" s="6" t="inlineStr">
        <is>
          <t>33137</t>
        </is>
      </c>
      <c r="I10" s="6" t="inlineStr">
        <is>
          <t>Little Haiti / Little River</t>
        </is>
      </c>
      <c r="J10" s="8" t="n">
        <v>25.8263434</v>
      </c>
      <c r="K10" s="8" t="n">
        <v>-80.1917894</v>
      </c>
      <c r="L10" s="6" t="n"/>
      <c r="M10" s="6" t="n"/>
      <c r="N10" s="6" t="inlineStr">
        <is>
          <t>Crate Digger</t>
        </is>
      </c>
      <c r="O10" s="11" t="inlineStr">
        <is>
          <t>Lolo Reskin opened Sweat Records in 2005, and twenty years later it's still Miami's independent record store — right next to Churchill's Pub. Digging is the whole point: your next favorite album is in here somewhere.</t>
        </is>
      </c>
      <c r="P10" s="6" t="inlineStr">
        <is>
          <t>culture</t>
        </is>
      </c>
      <c r="Q10" s="6" t="inlineStr">
        <is>
          <t>medium</t>
        </is>
      </c>
      <c r="R10" s="10" t="n">
        <v>150</v>
      </c>
      <c r="S10" s="10" t="n">
        <v>75</v>
      </c>
      <c r="T10" s="6" t="inlineStr">
        <is>
          <t>10–15 min</t>
        </is>
      </c>
      <c r="U10" s="11" t="inlineStr">
        <is>
          <t>Dig through the crates and find one record older than Sweat Records itself (2005). Photograph your find.</t>
        </is>
      </c>
      <c r="V10" s="6" t="inlineStr">
        <is>
          <t>Air-drum one chorus of whatever record you found. Full commitment.</t>
        </is>
      </c>
      <c r="W10" s="6" t="n"/>
      <c r="X10" s="6" t="inlineStr">
        <is>
          <t>https://www.sweatrecordsmiami.com/</t>
        </is>
      </c>
      <c r="Y10" s="6" t="inlineStr">
        <is>
          <t>https://www.google.com/search?q=Sweat+Records+5505+NE+2nd+Ave+Miami+reviews</t>
        </is>
      </c>
      <c r="Z10" s="6" t="inlineStr">
        <is>
          <t>https://www.instagram.com/sweatrecords/</t>
        </is>
      </c>
      <c r="AA10" s="6" t="inlineStr">
        <is>
          <t>info@sweatrecordsmiami.com</t>
        </is>
      </c>
      <c r="AB10" s="6" t="inlineStr">
        <is>
          <t>active</t>
        </is>
      </c>
      <c r="AC10" s="6" t="inlineStr">
        <is>
          <t>verified</t>
        </is>
      </c>
      <c r="AD10" s="11" t="inlineStr">
        <is>
          <t>Official site sweatrecordsmiami.com + WLRN/Axios 20th-anniversary coverage (March 2025) + Apple Maps, checked 2026-07-07</t>
        </is>
      </c>
      <c r="AE10" s="6" t="inlineStr">
        <is>
          <t>2026-07-07</t>
        </is>
      </c>
      <c r="AF10" s="11" t="inlineStr">
        <is>
          <t>Decision maker: Founder (Lolo); Contact: info@sweatrecordsmiami.com. Independent record store founded 2005 by Lolo Reskin, next to Churchill's Pub. Celebrated 20th anniversary in March 2025 (WLRN, Axios, Miami New Times coverage) -- clearly still active and thriving, no closure signals found; owner has discussed hoping to move to a bigger space in the future but no relocation confirmed yet.</t>
        </is>
      </c>
      <c r="AG10" s="7">
        <f>AI10</f>
        <v/>
      </c>
      <c r="AH10" s="7">
        <f>AI10</f>
        <v/>
      </c>
      <c r="AI10" s="7">
        <f>IF(COUNTIF(Quests!$D$4:$D$65,A10)&gt;0,"Yes","No")</f>
        <v/>
      </c>
      <c r="AJ10" s="19">
        <f>IF(AND(AB10="active",AC10="verified",X10&lt;&gt;"",Y10&lt;&gt;"",Z10&lt;&gt;"",W10&lt;&gt;""),"Yes","No")</f>
        <v/>
      </c>
      <c r="AK10" s="7">
        <f>IF(OR(B10="manual_review",Z10="",X10="",AC10&lt;&gt;"verified"),"Yes","No")</f>
        <v/>
      </c>
    </row>
    <row r="11" ht="49" customHeight="1">
      <c r="A11" s="13" t="inlineStr">
        <is>
          <t>books-and-books-coral-gables</t>
        </is>
      </c>
      <c r="B11" s="13" t="inlineStr">
        <is>
          <t>import</t>
        </is>
      </c>
      <c r="C11" s="13" t="inlineStr">
        <is>
          <t>Books &amp; Books</t>
        </is>
      </c>
      <c r="D11" s="13" t="inlineStr">
        <is>
          <t>Books &amp; Books - Coral Gables</t>
        </is>
      </c>
      <c r="E11" s="13" t="inlineStr">
        <is>
          <t>265 Aragon Ave</t>
        </is>
      </c>
      <c r="F11" s="13" t="inlineStr">
        <is>
          <t>Coral Gables</t>
        </is>
      </c>
      <c r="G11" s="13" t="inlineStr">
        <is>
          <t>FL</t>
        </is>
      </c>
      <c r="H11" s="13" t="inlineStr">
        <is>
          <t>33134</t>
        </is>
      </c>
      <c r="I11" s="13" t="inlineStr">
        <is>
          <t>Coral Gables</t>
        </is>
      </c>
      <c r="J11" s="14" t="n">
        <v>25.7506451</v>
      </c>
      <c r="K11" s="14" t="n">
        <v>-80.2600624</v>
      </c>
      <c r="L11" s="13" t="n"/>
      <c r="M11" s="13" t="n"/>
      <c r="N11" s="13" t="inlineStr">
        <is>
          <t>Shelf Discovery</t>
        </is>
      </c>
      <c r="O11" s="17" t="inlineStr">
        <is>
          <t>Miami's iconic independent bookstore has anchored Coral Gables since 1982. Algorithms recommend what you already like — these shelves recommend what you didn't know existed.</t>
        </is>
      </c>
      <c r="P11" s="13" t="inlineStr">
        <is>
          <t>culture</t>
        </is>
      </c>
      <c r="Q11" s="13" t="inlineStr">
        <is>
          <t>medium</t>
        </is>
      </c>
      <c r="R11" s="16" t="n">
        <v>150</v>
      </c>
      <c r="S11" s="16" t="n">
        <v>75</v>
      </c>
      <c r="T11" s="13" t="inlineStr">
        <is>
          <t>10–15 min</t>
        </is>
      </c>
      <c r="U11" s="17" t="inlineStr">
        <is>
          <t>Wander the flagship's shelves and find one book you'd never have discovered online. Photograph the cover where you found it.</t>
        </is>
      </c>
      <c r="V11" s="13" t="inlineStr">
        <is>
          <t>Read your find's first sentence out loud to whoever came with you.</t>
        </is>
      </c>
      <c r="W11" s="13" t="n"/>
      <c r="X11" s="13" t="inlineStr">
        <is>
          <t>https://www.booksandbooks.com/</t>
        </is>
      </c>
      <c r="Y11" s="13" t="inlineStr">
        <is>
          <t>https://www.google.com/search?q=Books+%26+Books+265+Aragon+Ave+Coral+Gables+reviews</t>
        </is>
      </c>
      <c r="Z11" s="13" t="inlineStr">
        <is>
          <t>https://www.instagram.com/booksandbooks/</t>
        </is>
      </c>
      <c r="AA11" s="13" t="inlineStr">
        <is>
          <t>events@booksandbooks.com</t>
        </is>
      </c>
      <c r="AB11" s="13" t="inlineStr">
        <is>
          <t>active</t>
        </is>
      </c>
      <c r="AC11" s="13" t="inlineStr">
        <is>
          <t>verified</t>
        </is>
      </c>
      <c r="AD11" s="17" t="inlineStr">
        <is>
          <t>Official site booksandbooks.com + Yelp/Apple Maps listing, checked 2026-07-07</t>
        </is>
      </c>
      <c r="AE11" s="13" t="inlineStr">
        <is>
          <t>2026-07-07</t>
        </is>
      </c>
      <c r="AF11" s="17" t="inlineStr">
        <is>
          <t>Decision maker: Events Coordinator; Contact: events@booksandbooks.com. Iconic independently-owned Miami-area bookstore chain founded 1982; Coral Gables flagship confirmed active, Yelp updated June 2026.</t>
        </is>
      </c>
      <c r="AG11" s="7">
        <f>AI11</f>
        <v/>
      </c>
      <c r="AH11" s="7">
        <f>AI11</f>
        <v/>
      </c>
      <c r="AI11" s="7">
        <f>IF(COUNTIF(Quests!$D$4:$D$65,A11)&gt;0,"Yes","No")</f>
        <v/>
      </c>
      <c r="AJ11" s="19">
        <f>IF(AND(AB11="active",AC11="verified",X11&lt;&gt;"",Y11&lt;&gt;"",Z11&lt;&gt;"",W11&lt;&gt;""),"Yes","No")</f>
        <v/>
      </c>
      <c r="AK11" s="7">
        <f>IF(OR(B11="manual_review",Z11="",X11="",AC11&lt;&gt;"verified"),"Yes","No")</f>
        <v/>
      </c>
    </row>
    <row r="12" ht="109" customHeight="1">
      <c r="A12" s="6" t="inlineStr">
        <is>
          <t>rosetta-bakery-south-beach</t>
        </is>
      </c>
      <c r="B12" s="6" t="inlineStr">
        <is>
          <t>import</t>
        </is>
      </c>
      <c r="C12" s="6" t="inlineStr">
        <is>
          <t>Rosetta Bakery</t>
        </is>
      </c>
      <c r="D12" s="6" t="inlineStr">
        <is>
          <t>Rosetta Bakery - South Beach</t>
        </is>
      </c>
      <c r="E12" s="6" t="inlineStr">
        <is>
          <t>1666 Collins Ave</t>
        </is>
      </c>
      <c r="F12" s="6" t="inlineStr">
        <is>
          <t>Miami Beach</t>
        </is>
      </c>
      <c r="G12" s="6" t="inlineStr">
        <is>
          <t>FL</t>
        </is>
      </c>
      <c r="H12" s="6" t="inlineStr">
        <is>
          <t>33139</t>
        </is>
      </c>
      <c r="I12" s="6" t="inlineStr">
        <is>
          <t>South Beach</t>
        </is>
      </c>
      <c r="J12" s="8" t="n">
        <v>25.7914055</v>
      </c>
      <c r="K12" s="8" t="n">
        <v>-80.1300535</v>
      </c>
      <c r="L12" s="6" t="n"/>
      <c r="M12" s="6" t="n"/>
      <c r="N12" s="6" t="inlineStr">
        <is>
          <t>La Dolce Collins</t>
        </is>
      </c>
      <c r="O12" s="11" t="inlineStr">
        <is>
          <t>An Italian bakery holding its corner of Collins Avenue since 2015, steps from Lincoln Road. The pastry case is the exhibit; admission is free.</t>
        </is>
      </c>
      <c r="P12" s="6" t="inlineStr">
        <is>
          <t>food</t>
        </is>
      </c>
      <c r="Q12" s="6" t="inlineStr">
        <is>
          <t>easy</t>
        </is>
      </c>
      <c r="R12" s="10" t="n">
        <v>50</v>
      </c>
      <c r="S12" s="10" t="n">
        <v>25</v>
      </c>
      <c r="T12" s="6" t="inlineStr">
        <is>
          <t>5–10 min</t>
        </is>
      </c>
      <c r="U12" s="11" t="inlineStr">
        <is>
          <t>Study the pastry counter and photograph the most Italian thing in the case.</t>
        </is>
      </c>
      <c r="V12" s="6" t="inlineStr">
        <is>
          <t>Whisper 'che bello' at the pastry case like you truly mean it.</t>
        </is>
      </c>
      <c r="W12" s="6" t="n"/>
      <c r="X12" s="6" t="inlineStr">
        <is>
          <t>https://www.rosettabakery.com/</t>
        </is>
      </c>
      <c r="Y12" s="6" t="inlineStr">
        <is>
          <t>https://www.google.com/search?q=Rosetta+Bakery+1666+Collins+Ave+Miami+Beach+reviews</t>
        </is>
      </c>
      <c r="Z12" s="6" t="inlineStr">
        <is>
          <t>https://www.instagram.com/rosettabakery/</t>
        </is>
      </c>
      <c r="AA12" s="6" t="inlineStr">
        <is>
          <t>info@rosettabakery.com</t>
        </is>
      </c>
      <c r="AB12" s="6" t="inlineStr">
        <is>
          <t>active</t>
        </is>
      </c>
      <c r="AC12" s="6" t="inlineStr">
        <is>
          <t>verified</t>
        </is>
      </c>
      <c r="AD12" s="11" t="inlineStr">
        <is>
          <t>Official site rosettabakery.com + Yelp listing, checked 2026-07-07</t>
        </is>
      </c>
      <c r="AE12" s="6" t="inlineStr">
        <is>
          <t>2026-07-07</t>
        </is>
      </c>
      <c r="AF12" s="11" t="inlineStr">
        <is>
          <t>Decision maker: Store Manager; Contact: info@rosettabakery.com. City corrected from generic 'Miami' to 'Miami Beach' since South Beach is part of the separate municipality of Miami Beach. Italian bakery chain (est. 2015) with multiple South Beach locations (1666 Collins Ave and 929 Collins Ave both currently listed); picked 1666 Collins Ave (Lincoln Road-area) as primary since it's the one most associated with 'South Beach' proper on the official site's store list. Yelp updated June 2026, confirmed active.</t>
        </is>
      </c>
      <c r="AG12" s="7">
        <f>AI12</f>
        <v/>
      </c>
      <c r="AH12" s="7">
        <f>AI12</f>
        <v/>
      </c>
      <c r="AI12" s="7">
        <f>IF(COUNTIF(Quests!$D$4:$D$65,A12)&gt;0,"Yes","No")</f>
        <v/>
      </c>
      <c r="AJ12" s="19">
        <f>IF(AND(AB12="active",AC12="verified",X12&lt;&gt;"",Y12&lt;&gt;"",Z12&lt;&gt;"",W12&lt;&gt;""),"Yes","No")</f>
        <v/>
      </c>
      <c r="AK12" s="7">
        <f>IF(OR(B12="manual_review",Z12="",X12="",AC12&lt;&gt;"verified"),"Yes","No")</f>
        <v/>
      </c>
    </row>
    <row r="13" ht="64" customHeight="1">
      <c r="A13" s="13" t="inlineStr">
        <is>
          <t>under-the-mango-tree-sofi</t>
        </is>
      </c>
      <c r="B13" s="13" t="inlineStr">
        <is>
          <t>import</t>
        </is>
      </c>
      <c r="C13" s="13" t="inlineStr">
        <is>
          <t>Under the Mango Tree</t>
        </is>
      </c>
      <c r="D13" s="13" t="inlineStr">
        <is>
          <t>Under the Mango Tree</t>
        </is>
      </c>
      <c r="E13" s="13" t="inlineStr">
        <is>
          <t>737 5th St</t>
        </is>
      </c>
      <c r="F13" s="13" t="inlineStr">
        <is>
          <t>Miami Beach</t>
        </is>
      </c>
      <c r="G13" s="13" t="inlineStr">
        <is>
          <t>FL</t>
        </is>
      </c>
      <c r="H13" s="13" t="inlineStr">
        <is>
          <t>33139</t>
        </is>
      </c>
      <c r="I13" s="13" t="inlineStr">
        <is>
          <t>South Beach (South of Fifth)</t>
        </is>
      </c>
      <c r="J13" s="14" t="n">
        <v>25.7747548</v>
      </c>
      <c r="K13" s="14" t="n">
        <v>-80.1358438</v>
      </c>
      <c r="L13" s="13" t="n"/>
      <c r="M13" s="13" t="n"/>
      <c r="N13" s="13" t="inlineStr">
        <is>
          <t>Mango State of Mind</t>
        </is>
      </c>
      <c r="O13" s="17" t="inlineStr">
        <is>
          <t>A little South of Fifth spot with a name that promises shade, sweetness, and no hurry whatsoever. Slow down to South Beach walking pace and find out what the name means to you.</t>
        </is>
      </c>
      <c r="P13" s="13" t="inlineStr">
        <is>
          <t>food</t>
        </is>
      </c>
      <c r="Q13" s="13" t="inlineStr">
        <is>
          <t>easy</t>
        </is>
      </c>
      <c r="R13" s="16" t="n">
        <v>50</v>
      </c>
      <c r="S13" s="16" t="n">
        <v>25</v>
      </c>
      <c r="T13" s="13" t="inlineStr">
        <is>
          <t>5–10 min</t>
        </is>
      </c>
      <c r="U13" s="17" t="inlineStr">
        <is>
          <t>Find Under the Mango Tree just off Fifth Street and photograph whatever you think earned it the name.</t>
        </is>
      </c>
      <c r="V13" s="13" t="inlineStr">
        <is>
          <t>Point at your photo subject and declare 'that's the mango tree' with total confidence.</t>
        </is>
      </c>
      <c r="W13" s="13" t="n"/>
      <c r="X13" s="13" t="inlineStr">
        <is>
          <t>https://www.mangotreemiami.com/</t>
        </is>
      </c>
      <c r="Y13" s="13" t="inlineStr">
        <is>
          <t>https://www.google.com/maps/search/?api=1&amp;query=Under+the+Mango+Tree+737+5th+St+Miami+Beach+FL</t>
        </is>
      </c>
      <c r="Z13" s="13" t="inlineStr">
        <is>
          <t>https://www.instagram.com/underthemangotreemiami/</t>
        </is>
      </c>
      <c r="AA13" s="13" t="inlineStr">
        <is>
          <t>hello@mangotreemiami.com</t>
        </is>
      </c>
      <c r="AB13" s="13" t="inlineStr">
        <is>
          <t>active</t>
        </is>
      </c>
      <c r="AC13" s="13" t="inlineStr">
        <is>
          <t>verified</t>
        </is>
      </c>
      <c r="AD13" s="17" t="inlineStr">
        <is>
          <t>Yelp (updated Jun 2026) + Apple Maps + business website + Instagram, checked 2026-07-07</t>
        </is>
      </c>
      <c r="AE13" s="13" t="inlineStr">
        <is>
          <t>2026-07-07</t>
        </is>
      </c>
      <c r="AF13" s="17" t="inlineStr">
        <is>
          <t>Decision maker: Founder; Contact: hello@mangotreemiami.com. Input Instagram handle @underthemangotree_sb could not be confirmed; active handle found is @underthemangotreemiami. A Foursquare listing shows a stale 'Now Closed' tag, but Yelp (updated Jun 2026), Tripadvisor, and HappyCow all show current, active listings.</t>
        </is>
      </c>
      <c r="AG13" s="7">
        <f>AI13</f>
        <v/>
      </c>
      <c r="AH13" s="7">
        <f>AI13</f>
        <v/>
      </c>
      <c r="AI13" s="7">
        <f>IF(COUNTIF(Quests!$D$4:$D$65,A13)&gt;0,"Yes","No")</f>
        <v/>
      </c>
      <c r="AJ13" s="19">
        <f>IF(AND(AB13="active",AC13="verified",X13&lt;&gt;"",Y13&lt;&gt;"",Z13&lt;&gt;"",W13&lt;&gt;""),"Yes","No")</f>
        <v/>
      </c>
      <c r="AK13" s="7">
        <f>IF(OR(B13="manual_review",Z13="",X13="",AC13&lt;&gt;"verified"),"Yes","No")</f>
        <v/>
      </c>
    </row>
    <row r="14" ht="34" customHeight="1">
      <c r="A14" s="6" t="inlineStr">
        <is>
          <t>dasher-and-crank-wynwood</t>
        </is>
      </c>
      <c r="B14" s="6" t="inlineStr">
        <is>
          <t>import</t>
        </is>
      </c>
      <c r="C14" s="6" t="inlineStr">
        <is>
          <t>Dasher &amp; Crank</t>
        </is>
      </c>
      <c r="D14" s="6" t="inlineStr">
        <is>
          <t>Dasher &amp; Crank</t>
        </is>
      </c>
      <c r="E14" s="6" t="inlineStr">
        <is>
          <t>2211 NW 2nd Ave</t>
        </is>
      </c>
      <c r="F14" s="6" t="inlineStr">
        <is>
          <t>Miami</t>
        </is>
      </c>
      <c r="G14" s="6" t="inlineStr">
        <is>
          <t>FL</t>
        </is>
      </c>
      <c r="H14" s="6" t="inlineStr">
        <is>
          <t>33127</t>
        </is>
      </c>
      <c r="I14" s="6" t="inlineStr">
        <is>
          <t>Wynwood</t>
        </is>
      </c>
      <c r="J14" s="8" t="n">
        <v>25.7982083</v>
      </c>
      <c r="K14" s="8" t="n">
        <v>-80.19908340000001</v>
      </c>
      <c r="L14" s="6" t="n"/>
      <c r="M14" s="6" t="n"/>
      <c r="N14" s="6" t="inlineStr">
        <is>
          <t>The Dasher &amp; Crank Riddle</t>
        </is>
      </c>
      <c r="O14" s="11" t="inlineStr">
        <is>
          <t>The name is a riddle: what do a 'dasher' and a 'crank' have in common? Walk into this Wynwood shop and the answer becomes deliciously obvious.</t>
        </is>
      </c>
      <c r="P14" s="6" t="inlineStr">
        <is>
          <t>food</t>
        </is>
      </c>
      <c r="Q14" s="6" t="inlineStr">
        <is>
          <t>easy</t>
        </is>
      </c>
      <c r="R14" s="10" t="n">
        <v>50</v>
      </c>
      <c r="S14" s="10" t="n">
        <v>25</v>
      </c>
      <c r="T14" s="6" t="inlineStr">
        <is>
          <t>5–10 min</t>
        </is>
      </c>
      <c r="U14" s="11" t="inlineStr">
        <is>
          <t>Find Dasher &amp; Crank on NW 2nd Ave and solve the name — the menu board is a good place to start. Photograph your evidence.</t>
        </is>
      </c>
      <c r="V14" s="6" t="inlineStr">
        <is>
          <t>Guess the answer out loud before you walk in, then grade yourself at the counter.</t>
        </is>
      </c>
      <c r="W14" s="6" t="n"/>
      <c r="X14" s="6" t="inlineStr">
        <is>
          <t>https://dasherandcrank.com/</t>
        </is>
      </c>
      <c r="Y14" s="6" t="inlineStr">
        <is>
          <t>https://www.google.com/maps/search/?api=1&amp;query=Dasher+%26+Crank+2211+NW+2nd+Ave+Miami+FL</t>
        </is>
      </c>
      <c r="Z14" s="6" t="inlineStr">
        <is>
          <t>https://www.instagram.com/dashercrank/</t>
        </is>
      </c>
      <c r="AA14" s="6" t="inlineStr">
        <is>
          <t>info@dasherandcrank.com</t>
        </is>
      </c>
      <c r="AB14" s="6" t="inlineStr">
        <is>
          <t>active</t>
        </is>
      </c>
      <c r="AC14" s="6" t="inlineStr">
        <is>
          <t>verified</t>
        </is>
      </c>
      <c r="AD14" s="11" t="inlineStr">
        <is>
          <t>Yelp + official site + Instagram search, checked 2026-07-07</t>
        </is>
      </c>
      <c r="AE14" s="6" t="inlineStr">
        <is>
          <t>2026-07-07</t>
        </is>
      </c>
      <c r="AF14" s="11" t="inlineStr">
        <is>
          <t>Decision maker: Founder; Contact: info@dasherandcrank.com. Input Instagram handle @dasherandcrank not found; active handle is @dashercrank (~5K followers).</t>
        </is>
      </c>
      <c r="AG14" s="7">
        <f>AI14</f>
        <v/>
      </c>
      <c r="AH14" s="7">
        <f>AI14</f>
        <v/>
      </c>
      <c r="AI14" s="7">
        <f>IF(COUNTIF(Quests!$D$4:$D$65,A14)&gt;0,"Yes","No")</f>
        <v/>
      </c>
      <c r="AJ14" s="19">
        <f>IF(AND(AB14="active",AC14="verified",X14&lt;&gt;"",Y14&lt;&gt;"",Z14&lt;&gt;"",W14&lt;&gt;""),"Yes","No")</f>
        <v/>
      </c>
      <c r="AK14" s="7">
        <f>IF(OR(B14="manual_review",Z14="",X14="",AC14&lt;&gt;"verified"),"Yes","No")</f>
        <v/>
      </c>
    </row>
    <row r="15" ht="79" customHeight="1">
      <c r="A15" s="13" t="inlineStr">
        <is>
          <t>midorie-coconut-grove</t>
        </is>
      </c>
      <c r="B15" s="13" t="inlineStr">
        <is>
          <t>import</t>
        </is>
      </c>
      <c r="C15" s="13" t="inlineStr">
        <is>
          <t>Midorie Miami</t>
        </is>
      </c>
      <c r="D15" s="13" t="inlineStr">
        <is>
          <t>Midorie Miami</t>
        </is>
      </c>
      <c r="E15" s="13" t="inlineStr">
        <is>
          <t>3444 Main Hwy</t>
        </is>
      </c>
      <c r="F15" s="13" t="inlineStr">
        <is>
          <t>Miami</t>
        </is>
      </c>
      <c r="G15" s="13" t="inlineStr">
        <is>
          <t>FL</t>
        </is>
      </c>
      <c r="H15" s="13" t="inlineStr">
        <is>
          <t>33133</t>
        </is>
      </c>
      <c r="I15" s="13" t="inlineStr">
        <is>
          <t>Coconut Grove</t>
        </is>
      </c>
      <c r="J15" s="14" t="n">
        <v>25.727493</v>
      </c>
      <c r="K15" s="14" t="n">
        <v>-80.243396</v>
      </c>
      <c r="L15" s="13" t="n"/>
      <c r="M15" s="13" t="n"/>
      <c r="N15" s="13" t="inlineStr">
        <is>
          <t>Lost in the Grove</t>
        </is>
      </c>
      <c r="O15" s="17" t="inlineStr">
        <is>
          <t>'Midori' is Japanese for green — and this Main Highway spot sits in Miami's greenest neighborhood. Step inside and decide for yourself whether the name fits.</t>
        </is>
      </c>
      <c r="P15" s="13" t="inlineStr">
        <is>
          <t>hidden_gem</t>
        </is>
      </c>
      <c r="Q15" s="13" t="inlineStr">
        <is>
          <t>easy</t>
        </is>
      </c>
      <c r="R15" s="16" t="n">
        <v>50</v>
      </c>
      <c r="S15" s="16" t="n">
        <v>25</v>
      </c>
      <c r="T15" s="13" t="inlineStr">
        <is>
          <t>5–10 min</t>
        </is>
      </c>
      <c r="U15" s="17" t="inlineStr">
        <is>
          <t>Find Midorie on Coconut Grove's Main Highway and photograph the greenest corner you can find.</t>
        </is>
      </c>
      <c r="V15" s="13" t="inlineStr">
        <is>
          <t>Give your photo an art-gallery title and announce it out loud.</t>
        </is>
      </c>
      <c r="W15" s="13" t="n"/>
      <c r="X15" s="13" t="inlineStr">
        <is>
          <t>https://www.midoriemiami.com/</t>
        </is>
      </c>
      <c r="Y15" s="13" t="inlineStr">
        <is>
          <t>https://www.google.com/maps/search/?api=1&amp;query=Midorie+Miami+3444+Main+Hwy+Miami+FL</t>
        </is>
      </c>
      <c r="Z15" s="13" t="inlineStr">
        <is>
          <t>https://www.instagram.com/midorie_miami/</t>
        </is>
      </c>
      <c r="AA15" s="13" t="inlineStr">
        <is>
          <t>hello@midoriemiami.com</t>
        </is>
      </c>
      <c r="AB15" s="13" t="inlineStr">
        <is>
          <t>active</t>
        </is>
      </c>
      <c r="AC15" s="13" t="inlineStr">
        <is>
          <t>verified</t>
        </is>
      </c>
      <c r="AD15" s="17" t="inlineStr">
        <is>
          <t>Yelp + official site + Instagram search, checked 2026-07-07</t>
        </is>
      </c>
      <c r="AE15" s="13" t="inlineStr">
        <is>
          <t>2026-07-07</t>
        </is>
      </c>
      <c r="AF15" s="17" t="inlineStr">
        <is>
          <t>Decision maker: Owner; Contact: hello@midoriemiami.com. Input neighborhood 'Coconut Grove / Edge' normalized to Coconut Grove, matching the flagship Main Highway location. Input Instagram handle @midoriemiami not found exactly; active handle is @midorie_miami (with underscore). A second Midorie location also exists at 851 NE 79th St (Upper East Side).</t>
        </is>
      </c>
      <c r="AG15" s="7">
        <f>AI15</f>
        <v/>
      </c>
      <c r="AH15" s="7">
        <f>AI15</f>
        <v/>
      </c>
      <c r="AI15" s="7">
        <f>IF(COUNTIF(Quests!$D$4:$D$65,A15)&gt;0,"Yes","No")</f>
        <v/>
      </c>
      <c r="AJ15" s="19">
        <f>IF(AND(AB15="active",AC15="verified",X15&lt;&gt;"",Y15&lt;&gt;"",Z15&lt;&gt;"",W15&lt;&gt;""),"Yes","No")</f>
        <v/>
      </c>
      <c r="AK15" s="7">
        <f>IF(OR(B15="manual_review",Z15="",X15="",AC15&lt;&gt;"verified"),"Yes","No")</f>
        <v/>
      </c>
    </row>
    <row r="16" ht="49" customHeight="1">
      <c r="A16" s="6" t="inlineStr">
        <is>
          <t>the-corner-downtown</t>
        </is>
      </c>
      <c r="B16" s="6" t="inlineStr">
        <is>
          <t>import</t>
        </is>
      </c>
      <c r="C16" s="6" t="inlineStr">
        <is>
          <t>The Corner</t>
        </is>
      </c>
      <c r="D16" s="6" t="inlineStr">
        <is>
          <t>The Corner</t>
        </is>
      </c>
      <c r="E16" s="6" t="inlineStr">
        <is>
          <t>1035 N Miami Ave #101</t>
        </is>
      </c>
      <c r="F16" s="6" t="inlineStr">
        <is>
          <t>Miami</t>
        </is>
      </c>
      <c r="G16" s="6" t="inlineStr">
        <is>
          <t>FL</t>
        </is>
      </c>
      <c r="H16" s="6" t="inlineStr">
        <is>
          <t>33136</t>
        </is>
      </c>
      <c r="I16" s="6" t="inlineStr">
        <is>
          <t>Downtown Miami / Park West</t>
        </is>
      </c>
      <c r="J16" s="8" t="n">
        <v>25.784656</v>
      </c>
      <c r="K16" s="8" t="n">
        <v>-80.19389700000001</v>
      </c>
      <c r="L16" s="6" t="n"/>
      <c r="M16" s="6" t="n"/>
      <c r="N16" s="6" t="inlineStr">
        <is>
          <t>Meet Me at The Corner</t>
        </is>
      </c>
      <c r="O16" s="11" t="inlineStr">
        <is>
          <t>A Park West bar that's exactly what it says on the sign. Downtown's night crowd has been meeting at this corner of N Miami Ave for years — now it's your turn.</t>
        </is>
      </c>
      <c r="P16" s="6" t="inlineStr">
        <is>
          <t>nightlife</t>
        </is>
      </c>
      <c r="Q16" s="6" t="inlineStr">
        <is>
          <t>medium</t>
        </is>
      </c>
      <c r="R16" s="10" t="n">
        <v>150</v>
      </c>
      <c r="S16" s="10" t="n">
        <v>75</v>
      </c>
      <c r="T16" s="6" t="inlineStr">
        <is>
          <t>10–15 min</t>
        </is>
      </c>
      <c r="U16" s="11" t="inlineStr">
        <is>
          <t>Post up at The Corner and capture proof you found it — the sign, the room, or your spot at the bar.</t>
        </is>
      </c>
      <c r="V16" s="6" t="inlineStr">
        <is>
          <t>Raise whatever you're holding and toast 'to the Corner.' Water counts.</t>
        </is>
      </c>
      <c r="W16" s="6" t="n"/>
      <c r="X16" s="6" t="inlineStr">
        <is>
          <t>https://www.thecornermiami.com/</t>
        </is>
      </c>
      <c r="Y16" s="6" t="inlineStr">
        <is>
          <t>https://www.google.com/maps/search/?api=1&amp;query=The+Corner+1035+N+Miami+Ave+Miami+FL</t>
        </is>
      </c>
      <c r="Z16" s="6" t="inlineStr">
        <is>
          <t>https://www.instagram.com/thecornermiami/</t>
        </is>
      </c>
      <c r="AA16" s="6" t="inlineStr">
        <is>
          <t>info@thecornermiami.com</t>
        </is>
      </c>
      <c r="AB16" s="6" t="inlineStr">
        <is>
          <t>active</t>
        </is>
      </c>
      <c r="AC16" s="6" t="inlineStr">
        <is>
          <t>verified</t>
        </is>
      </c>
      <c r="AD16" s="11" t="inlineStr">
        <is>
          <t>Yelp (updated Jun 2026) + official site + Instagram, checked 2026-07-07</t>
        </is>
      </c>
      <c r="AE16" s="6" t="inlineStr">
        <is>
          <t>2026-07-07</t>
        </is>
      </c>
      <c r="AF16" s="11" t="inlineStr">
        <is>
          <t>Decision maker: Bar Manager; Contact: info@thecornermiami.com. Shares its building/address (1035 N Miami Ave) with the now-closed All Day cafe (rank 17) — the two were run by the same ownership group as day/night concepts in the same space.</t>
        </is>
      </c>
      <c r="AG16" s="7">
        <f>AI16</f>
        <v/>
      </c>
      <c r="AH16" s="7">
        <f>AI16</f>
        <v/>
      </c>
      <c r="AI16" s="7">
        <f>IF(COUNTIF(Quests!$D$4:$D$65,A16)&gt;0,"Yes","No")</f>
        <v/>
      </c>
      <c r="AJ16" s="19">
        <f>IF(AND(AB16="active",AC16="verified",X16&lt;&gt;"",Y16&lt;&gt;"",Z16&lt;&gt;"",W16&lt;&gt;""),"Yes","No")</f>
        <v/>
      </c>
      <c r="AK16" s="7">
        <f>IF(OR(B16="manual_review",Z16="",X16="",AC16&lt;&gt;"verified"),"Yes","No")</f>
        <v/>
      </c>
    </row>
    <row r="17" ht="64" customHeight="1">
      <c r="A17" s="13" t="inlineStr">
        <is>
          <t>miam-cafe-wynwood</t>
        </is>
      </c>
      <c r="B17" s="13" t="inlineStr">
        <is>
          <t>import</t>
        </is>
      </c>
      <c r="C17" s="13" t="inlineStr">
        <is>
          <t>Miam Café</t>
        </is>
      </c>
      <c r="D17" s="13" t="inlineStr">
        <is>
          <t>Miam Café - Wynwood</t>
        </is>
      </c>
      <c r="E17" s="13" t="inlineStr">
        <is>
          <t>2750 NW 3rd Ave</t>
        </is>
      </c>
      <c r="F17" s="13" t="inlineStr">
        <is>
          <t>Miami</t>
        </is>
      </c>
      <c r="G17" s="13" t="inlineStr">
        <is>
          <t>FL</t>
        </is>
      </c>
      <c r="H17" s="13" t="inlineStr">
        <is>
          <t>33127</t>
        </is>
      </c>
      <c r="I17" s="13" t="inlineStr">
        <is>
          <t>Wynwood</t>
        </is>
      </c>
      <c r="J17" s="14" t="n">
        <v>25.802408</v>
      </c>
      <c r="K17" s="14" t="n">
        <v>-80.2016552</v>
      </c>
      <c r="L17" s="13" t="n"/>
      <c r="M17" s="13" t="n"/>
      <c r="N17" s="13" t="inlineStr">
        <is>
          <t>Say 'Miam'</t>
        </is>
      </c>
      <c r="O17" s="17" t="inlineStr">
        <is>
          <t>'Miam' is French for 'yum' — the entire mission statement in four letters. Find the Wynwood café that named itself after the sound you make when the plate arrives.</t>
        </is>
      </c>
      <c r="P17" s="13" t="inlineStr">
        <is>
          <t>food</t>
        </is>
      </c>
      <c r="Q17" s="13" t="inlineStr">
        <is>
          <t>easy</t>
        </is>
      </c>
      <c r="R17" s="16" t="n">
        <v>50</v>
      </c>
      <c r="S17" s="16" t="n">
        <v>25</v>
      </c>
      <c r="T17" s="13" t="inlineStr">
        <is>
          <t>5–10 min</t>
        </is>
      </c>
      <c r="U17" s="17" t="inlineStr">
        <is>
          <t>Find Miam Café and photograph the thing on the menu that makes you go 'miam.'</t>
        </is>
      </c>
      <c r="V17" s="13" t="inlineStr">
        <is>
          <t>Actually say 'miam' out loud when you spot it. It's the law of the quest.</t>
        </is>
      </c>
      <c r="W17" s="13" t="n"/>
      <c r="X17" s="13" t="inlineStr">
        <is>
          <t>https://www.miamcafe.com/</t>
        </is>
      </c>
      <c r="Y17" s="13" t="inlineStr">
        <is>
          <t>https://www.google.com/maps/search/?api=1&amp;query=Miam+Cafe+2750+NW+3rd+Ave+Miami+FL</t>
        </is>
      </c>
      <c r="Z17" s="13" t="inlineStr">
        <is>
          <t>https://www.instagram.com/miam.cafe/</t>
        </is>
      </c>
      <c r="AA17" s="13" t="inlineStr">
        <is>
          <t>info@miamcafe.com</t>
        </is>
      </c>
      <c r="AB17" s="13" t="inlineStr">
        <is>
          <t>active</t>
        </is>
      </c>
      <c r="AC17" s="13" t="inlineStr">
        <is>
          <t>verified</t>
        </is>
      </c>
      <c r="AD17" s="17" t="inlineStr">
        <is>
          <t>Yelp (updated Jun 2026) + official site + Instagram, checked 2026-07-07</t>
        </is>
      </c>
      <c r="AE17" s="13" t="inlineStr">
        <is>
          <t>2026-07-07</t>
        </is>
      </c>
      <c r="AF17" s="17" t="inlineStr">
        <is>
          <t>Decision maker: General Manager; Contact: info@miamcafe.com. Input Instagram handle @miamcafe not found exactly; active handle is @miam.cafe. Miam Café has additional locations in Coral Gables, Biscayne, Fort Lauderdale, and Miami Beach; Wynwood used here as it matches the input's stated neighborhood.</t>
        </is>
      </c>
      <c r="AG17" s="7">
        <f>AI17</f>
        <v/>
      </c>
      <c r="AH17" s="7">
        <f>AI17</f>
        <v/>
      </c>
      <c r="AI17" s="7">
        <f>IF(COUNTIF(Quests!$D$4:$D$65,A17)&gt;0,"Yes","No")</f>
        <v/>
      </c>
      <c r="AJ17" s="19">
        <f>IF(AND(AB17="active",AC17="verified",X17&lt;&gt;"",Y17&lt;&gt;"",Z17&lt;&gt;"",W17&lt;&gt;""),"Yes","No")</f>
        <v/>
      </c>
      <c r="AK17" s="7">
        <f>IF(OR(B17="manual_review",Z17="",X17="",AC17&lt;&gt;"verified"),"Yes","No")</f>
        <v/>
      </c>
    </row>
    <row r="18" ht="49" customHeight="1">
      <c r="A18" s="6" t="inlineStr">
        <is>
          <t>el-carajo-coral-way</t>
        </is>
      </c>
      <c r="B18" s="6" t="inlineStr">
        <is>
          <t>import</t>
        </is>
      </c>
      <c r="C18" s="6" t="inlineStr">
        <is>
          <t>El Carajo International Tapas &amp; Wine</t>
        </is>
      </c>
      <c r="D18" s="6" t="inlineStr">
        <is>
          <t>El Carajo</t>
        </is>
      </c>
      <c r="E18" s="6" t="inlineStr">
        <is>
          <t>2465 SW 17th Ave</t>
        </is>
      </c>
      <c r="F18" s="6" t="inlineStr">
        <is>
          <t>Miami</t>
        </is>
      </c>
      <c r="G18" s="6" t="inlineStr">
        <is>
          <t>FL</t>
        </is>
      </c>
      <c r="H18" s="6" t="inlineStr">
        <is>
          <t>33145</t>
        </is>
      </c>
      <c r="I18" s="6" t="inlineStr">
        <is>
          <t>Coral Way</t>
        </is>
      </c>
      <c r="J18" s="8" t="n">
        <v>25.7461508</v>
      </c>
      <c r="K18" s="8" t="n">
        <v>-80.221873</v>
      </c>
      <c r="L18" s="6" t="n"/>
      <c r="M18" s="6" t="n"/>
      <c r="N18" s="6" t="inlineStr">
        <is>
          <t>Fill Up on Tapas</t>
        </is>
      </c>
      <c r="O18" s="11" t="inlineStr">
        <is>
          <t>From the street it's a working Mobil gas station. Inside, since 1981, it's been a Spanish tapas and wine destination. This is the most Miami plot twist on Coral Way — and one of the city's great hidden doors.</t>
        </is>
      </c>
      <c r="P18" s="6" t="inlineStr">
        <is>
          <t>hidden_gem</t>
        </is>
      </c>
      <c r="Q18" s="6" t="inlineStr">
        <is>
          <t>medium</t>
        </is>
      </c>
      <c r="R18" s="10" t="n">
        <v>150</v>
      </c>
      <c r="S18" s="10" t="n">
        <v>75</v>
      </c>
      <c r="T18" s="6" t="inlineStr">
        <is>
          <t>10–15 min</t>
        </is>
      </c>
      <c r="U18" s="11" t="inlineStr">
        <is>
          <t>Walk past the gas pumps and find the tapas-and-wine restaurant hiding inside. Photograph the exact spot where gas station turns into Spain.</t>
        </is>
      </c>
      <c r="V18" s="6" t="inlineStr">
        <is>
          <t>Text a friend 'I'm at a gas station,' then send your photo with zero explanation.</t>
        </is>
      </c>
      <c r="W18" s="6" t="n"/>
      <c r="X18" s="6" t="inlineStr">
        <is>
          <t>https://el-carajo.com/</t>
        </is>
      </c>
      <c r="Y18" s="6" t="inlineStr">
        <is>
          <t>https://www.google.com/maps/search/?api=1&amp;query=El+Carajo+2465+SW+17th+Ave+Miami+FL</t>
        </is>
      </c>
      <c r="Z18" s="6" t="inlineStr">
        <is>
          <t>https://www.instagram.com/theelcarajo/</t>
        </is>
      </c>
      <c r="AA18" s="6" t="inlineStr">
        <is>
          <t>info@el-carajo.com</t>
        </is>
      </c>
      <c r="AB18" s="6" t="inlineStr">
        <is>
          <t>active</t>
        </is>
      </c>
      <c r="AC18" s="6" t="inlineStr">
        <is>
          <t>verified</t>
        </is>
      </c>
      <c r="AD18" s="11" t="inlineStr">
        <is>
          <t>Yelp + official site + Instagram search, checked 2026-07-07</t>
        </is>
      </c>
      <c r="AE18" s="6" t="inlineStr">
        <is>
          <t>2026-07-07</t>
        </is>
      </c>
      <c r="AF18" s="11" t="inlineStr">
        <is>
          <t>Decision maker: Proprietor; Contact: info@el-carajo.com. Input Instagram handle @elcarajomiami not found; active handle is @theelcarajo (~18K followers). Known for being tucked into a working Mobil gas station off US-1; open since 1981.</t>
        </is>
      </c>
      <c r="AG18" s="7">
        <f>AI18</f>
        <v/>
      </c>
      <c r="AH18" s="7">
        <f>AI18</f>
        <v/>
      </c>
      <c r="AI18" s="7">
        <f>IF(COUNTIF(Quests!$D$4:$D$65,A18)&gt;0,"Yes","No")</f>
        <v/>
      </c>
      <c r="AJ18" s="19">
        <f>IF(AND(AB18="active",AC18="verified",X18&lt;&gt;"",Y18&lt;&gt;"",Z18&lt;&gt;"",W18&lt;&gt;""),"Yes","No")</f>
        <v/>
      </c>
      <c r="AK18" s="7">
        <f>IF(OR(B18="manual_review",Z18="",X18="",AC18&lt;&gt;"verified"),"Yes","No")</f>
        <v/>
      </c>
    </row>
    <row r="19" ht="64" customHeight="1">
      <c r="A19" s="13" t="inlineStr">
        <is>
          <t>pasion-del-cielo-brickell</t>
        </is>
      </c>
      <c r="B19" s="13" t="inlineStr">
        <is>
          <t>import</t>
        </is>
      </c>
      <c r="C19" s="13" t="inlineStr">
        <is>
          <t>Pasión del Cielo Coffee</t>
        </is>
      </c>
      <c r="D19" s="13" t="inlineStr">
        <is>
          <t>Pasión del Cielo Coffee - Brickell</t>
        </is>
      </c>
      <c r="E19" s="13" t="inlineStr">
        <is>
          <t>907 Brickell Ave</t>
        </is>
      </c>
      <c r="F19" s="13" t="inlineStr">
        <is>
          <t>Miami</t>
        </is>
      </c>
      <c r="G19" s="13" t="inlineStr">
        <is>
          <t>FL</t>
        </is>
      </c>
      <c r="H19" s="13" t="inlineStr">
        <is>
          <t>33131</t>
        </is>
      </c>
      <c r="I19" s="13" t="inlineStr">
        <is>
          <t>Brickell</t>
        </is>
      </c>
      <c r="J19" s="14" t="n">
        <v>25.7651768</v>
      </c>
      <c r="K19" s="14" t="n">
        <v>-80.1908292</v>
      </c>
      <c r="L19" s="13" t="n"/>
      <c r="M19" s="13" t="n"/>
      <c r="N19" s="13" t="inlineStr">
        <is>
          <t>Heaven on Brickell</t>
        </is>
      </c>
      <c r="O19" s="17" t="inlineStr">
        <is>
          <t>The name means 'passion of heaven,' and it sits in the middle of Brickell's canyon of glass towers. Duck out of the financial district for ten minutes of the good stuff.</t>
        </is>
      </c>
      <c r="P19" s="13" t="inlineStr">
        <is>
          <t>food</t>
        </is>
      </c>
      <c r="Q19" s="13" t="inlineStr">
        <is>
          <t>easy</t>
        </is>
      </c>
      <c r="R19" s="16" t="n">
        <v>50</v>
      </c>
      <c r="S19" s="16" t="n">
        <v>25</v>
      </c>
      <c r="T19" s="13" t="inlineStr">
        <is>
          <t>5–10 min</t>
        </is>
      </c>
      <c r="U19" s="17" t="inlineStr">
        <is>
          <t>Find Pasión del Cielo on Brickell Ave and photograph its name where it appears — then add your own translation.</t>
        </is>
      </c>
      <c r="V19" s="13" t="inlineStr">
        <is>
          <t>Salute the sky as you walk in. El cielo will understand.</t>
        </is>
      </c>
      <c r="W19" s="13" t="n"/>
      <c r="X19" s="13" t="inlineStr">
        <is>
          <t>https://www.pasiondelcielo.com/</t>
        </is>
      </c>
      <c r="Y19" s="13" t="inlineStr">
        <is>
          <t>https://www.google.com/maps/search/?api=1&amp;query=Pasion+del+Cielo+Coffee+907+Brickell+Ave+Miami+FL</t>
        </is>
      </c>
      <c r="Z19" s="13" t="inlineStr">
        <is>
          <t>https://www.instagram.com/pasiondelcielocoffee/</t>
        </is>
      </c>
      <c r="AA19" s="13" t="inlineStr">
        <is>
          <t>info@pasiondelcielo.com</t>
        </is>
      </c>
      <c r="AB19" s="13" t="inlineStr">
        <is>
          <t>active</t>
        </is>
      </c>
      <c r="AC19" s="13" t="inlineStr">
        <is>
          <t>verified</t>
        </is>
      </c>
      <c r="AD19" s="17" t="inlineStr">
        <is>
          <t>Yelp (updated Apr 2026) + official site + Instagram, checked 2026-07-07</t>
        </is>
      </c>
      <c r="AE19" s="13" t="inlineStr">
        <is>
          <t>2026-07-07</t>
        </is>
      </c>
      <c r="AF19" s="17" t="inlineStr">
        <is>
          <t>Decision maker: Area Manager; Contact: info@pasiondelcielo.com. Input Instagram handle @pasiondelcielofl not found exactly; active handle is @pasiondelcielocoffee. Also operates a near-identical site at pasiondelcielocoffee.com and additional locations in Coral Gables (Giralda Ave) and Midtown.</t>
        </is>
      </c>
      <c r="AG19" s="7">
        <f>AI19</f>
        <v/>
      </c>
      <c r="AH19" s="7">
        <f>AI19</f>
        <v/>
      </c>
      <c r="AI19" s="7">
        <f>IF(COUNTIF(Quests!$D$4:$D$65,A19)&gt;0,"Yes","No")</f>
        <v/>
      </c>
      <c r="AJ19" s="19">
        <f>IF(AND(AB19="active",AC19="verified",X19&lt;&gt;"",Y19&lt;&gt;"",Z19&lt;&gt;"",W19&lt;&gt;""),"Yes","No")</f>
        <v/>
      </c>
      <c r="AK19" s="7">
        <f>IF(OR(B19="manual_review",Z19="",X19="",AC19&lt;&gt;"verified"),"Yes","No")</f>
        <v/>
      </c>
    </row>
    <row r="20" ht="34" customHeight="1">
      <c r="A20" s="6" t="inlineStr">
        <is>
          <t>wynwood-walls</t>
        </is>
      </c>
      <c r="B20" s="6" t="inlineStr">
        <is>
          <t>import</t>
        </is>
      </c>
      <c r="C20" s="6" t="inlineStr">
        <is>
          <t>Wynwood Walls</t>
        </is>
      </c>
      <c r="D20" s="6" t="inlineStr">
        <is>
          <t>Wynwood Walls</t>
        </is>
      </c>
      <c r="E20" s="6" t="inlineStr">
        <is>
          <t>2516 NW 2nd Ave</t>
        </is>
      </c>
      <c r="F20" s="6" t="inlineStr">
        <is>
          <t>Miami</t>
        </is>
      </c>
      <c r="G20" s="6" t="inlineStr">
        <is>
          <t>FL</t>
        </is>
      </c>
      <c r="H20" s="6" t="inlineStr">
        <is>
          <t>33127</t>
        </is>
      </c>
      <c r="I20" s="6" t="inlineStr">
        <is>
          <t>Wynwood</t>
        </is>
      </c>
      <c r="J20" s="8" t="n">
        <v>25.801018</v>
      </c>
      <c r="K20" s="8" t="n">
        <v>-80.199493</v>
      </c>
      <c r="L20" s="6" t="inlineStr">
        <is>
          <t>10:30 AM – 6:30 PM</t>
        </is>
      </c>
      <c r="M20" s="6" t="inlineStr">
        <is>
          <t>Daily · timed entry tickets</t>
        </is>
      </c>
      <c r="N20" s="6" t="inlineStr">
        <is>
          <t>Walls That Talk</t>
        </is>
      </c>
      <c r="O20" s="11" t="inlineStr">
        <is>
          <t>An open-air museum where the galleries have no ceilings and the canvases are entire buildings. Timed entry tickets get you in the gates — curiosity does the rest.</t>
        </is>
      </c>
      <c r="P20" s="6" t="inlineStr">
        <is>
          <t>art</t>
        </is>
      </c>
      <c r="Q20" s="6" t="inlineStr">
        <is>
          <t>medium</t>
        </is>
      </c>
      <c r="R20" s="10" t="n">
        <v>150</v>
      </c>
      <c r="S20" s="10" t="n">
        <v>75</v>
      </c>
      <c r="T20" s="6" t="inlineStr">
        <is>
          <t>15–20 min</t>
        </is>
      </c>
      <c r="U20" s="11" t="inlineStr">
        <is>
          <t>Wander the outdoor galleries and find the mural that stops you mid-step. Photograph it, and hunt down the artist's name.</t>
        </is>
      </c>
      <c r="V20" s="6" t="inlineStr">
        <is>
          <t>Match your pose to the mural. Yes, exactly like that.</t>
        </is>
      </c>
      <c r="W20" s="6" t="n"/>
      <c r="X20" s="6" t="inlineStr">
        <is>
          <t>https://thewynwoodwalls.com/</t>
        </is>
      </c>
      <c r="Y20" s="6" t="inlineStr">
        <is>
          <t>https://www.yelp.com/biz/wynwood-walls-miami</t>
        </is>
      </c>
      <c r="Z20" s="6" t="inlineStr">
        <is>
          <t>https://www.instagram.com/wynwoodwallsofficial/</t>
        </is>
      </c>
      <c r="AA20" s="6" t="inlineStr">
        <is>
          <t>info@thewynwoodwalls.com</t>
        </is>
      </c>
      <c r="AB20" s="6" t="inlineStr">
        <is>
          <t>active</t>
        </is>
      </c>
      <c r="AC20" s="6" t="inlineStr">
        <is>
          <t>verified</t>
        </is>
      </c>
      <c r="AD20" s="11" t="inlineStr">
        <is>
          <t>Official site thewynwoodwalls.com + Yelp/Apple Maps listings, checked 2026-07-07</t>
        </is>
      </c>
      <c r="AE20" s="6" t="inlineStr">
        <is>
          <t>2026-07-07</t>
        </is>
      </c>
      <c r="AF20" s="11" t="inlineStr">
        <is>
          <t>Decision maker: Director of Marketing; Contact: info@thewynwoodwalls.com. Outdoor street art museum, open daily 10:30am-6:30pm, timed/ticketed entry.</t>
        </is>
      </c>
      <c r="AG20" s="7">
        <f>AI20</f>
        <v/>
      </c>
      <c r="AH20" s="7">
        <f>AI20</f>
        <v/>
      </c>
      <c r="AI20" s="7">
        <f>IF(COUNTIF(Quests!$D$4:$D$65,A20)&gt;0,"Yes","No")</f>
        <v/>
      </c>
      <c r="AJ20" s="19">
        <f>IF(AND(AB20="active",AC20="verified",X20&lt;&gt;"",Y20&lt;&gt;"",Z20&lt;&gt;"",W20&lt;&gt;""),"Yes","No")</f>
        <v/>
      </c>
      <c r="AK20" s="7">
        <f>IF(OR(B20="manual_review",Z20="",X20="",AC20&lt;&gt;"verified"),"Yes","No")</f>
        <v/>
      </c>
    </row>
    <row r="21" ht="49" customHeight="1">
      <c r="A21" s="13" t="inlineStr">
        <is>
          <t>perez-art-museum-miami</t>
        </is>
      </c>
      <c r="B21" s="13" t="inlineStr">
        <is>
          <t>import</t>
        </is>
      </c>
      <c r="C21" s="13" t="inlineStr">
        <is>
          <t>Pérez Art Museum Miami</t>
        </is>
      </c>
      <c r="D21" s="13" t="inlineStr">
        <is>
          <t>Pérez Art Museum Miami</t>
        </is>
      </c>
      <c r="E21" s="13" t="inlineStr">
        <is>
          <t>1103 Biscayne Blvd</t>
        </is>
      </c>
      <c r="F21" s="13" t="inlineStr">
        <is>
          <t>Miami</t>
        </is>
      </c>
      <c r="G21" s="13" t="inlineStr">
        <is>
          <t>FL</t>
        </is>
      </c>
      <c r="H21" s="13" t="inlineStr">
        <is>
          <t>33132</t>
        </is>
      </c>
      <c r="I21" s="13" t="inlineStr">
        <is>
          <t>Downtown Miami</t>
        </is>
      </c>
      <c r="J21" s="14" t="n">
        <v>25.7859809</v>
      </c>
      <c r="K21" s="14" t="n">
        <v>-80.18626930000001</v>
      </c>
      <c r="L21" s="13" t="n"/>
      <c r="M21" s="13" t="n"/>
      <c r="N21" s="13" t="inlineStr">
        <is>
          <t>Art on the Bay</t>
        </is>
      </c>
      <c r="O21" s="17" t="inlineStr">
        <is>
          <t>PAMM sits at the water's edge of Maurice A. Ferré Park, next door to the Kaseya Center. Inside: contemporary art. Outside: Biscayne Bay doing its best to compete with it.</t>
        </is>
      </c>
      <c r="P21" s="13" t="inlineStr">
        <is>
          <t>art</t>
        </is>
      </c>
      <c r="Q21" s="13" t="inlineStr">
        <is>
          <t>medium</t>
        </is>
      </c>
      <c r="R21" s="16" t="n">
        <v>150</v>
      </c>
      <c r="S21" s="16" t="n">
        <v>75</v>
      </c>
      <c r="T21" s="13" t="inlineStr">
        <is>
          <t>15–20 min</t>
        </is>
      </c>
      <c r="U21" s="17" t="inlineStr">
        <is>
          <t>Find the one artwork inside PAMM you'd hang at home — then find the bay view and decide which one wins.</t>
        </is>
      </c>
      <c r="V21" s="13" t="inlineStr">
        <is>
          <t>Leave a one-word review of your favorite piece in your Community Note.</t>
        </is>
      </c>
      <c r="W21" s="13" t="n"/>
      <c r="X21" s="13" t="inlineStr">
        <is>
          <t>https://www.pamm.org/</t>
        </is>
      </c>
      <c r="Y21" s="13" t="inlineStr">
        <is>
          <t>https://www.yelp.com/biz/p%C3%A9rez-art-museum-miami-miami-7</t>
        </is>
      </c>
      <c r="Z21" s="13" t="inlineStr">
        <is>
          <t>https://www.instagram.com/pamm/</t>
        </is>
      </c>
      <c r="AA21" s="13" t="inlineStr">
        <is>
          <t>info@pamm.org</t>
        </is>
      </c>
      <c r="AB21" s="13" t="inlineStr">
        <is>
          <t>active</t>
        </is>
      </c>
      <c r="AC21" s="13" t="inlineStr">
        <is>
          <t>verified</t>
        </is>
      </c>
      <c r="AD21" s="17" t="inlineStr">
        <is>
          <t>Official site pamm.org + Apple Maps geocode tied to confirmed address, checked 2026-07-07</t>
        </is>
      </c>
      <c r="AE21" s="13" t="inlineStr">
        <is>
          <t>2026-07-07</t>
        </is>
      </c>
      <c r="AF21" s="17" t="inlineStr">
        <is>
          <t>Decision maker: Visitor Exp. Director; Contact: info@pamm.org. Located in Maurice A. Ferré Park, Downtown Miami, adjacent to Kaseya Center.</t>
        </is>
      </c>
      <c r="AG21" s="7">
        <f>AI21</f>
        <v/>
      </c>
      <c r="AH21" s="7">
        <f>AI21</f>
        <v/>
      </c>
      <c r="AI21" s="7">
        <f>IF(COUNTIF(Quests!$D$4:$D$65,A21)&gt;0,"Yes","No")</f>
        <v/>
      </c>
      <c r="AJ21" s="19">
        <f>IF(AND(AB21="active",AC21="verified",X21&lt;&gt;"",Y21&lt;&gt;"",Z21&lt;&gt;"",W21&lt;&gt;""),"Yes","No")</f>
        <v/>
      </c>
      <c r="AK21" s="7">
        <f>IF(OR(B21="manual_review",Z21="",X21="",AC21&lt;&gt;"verified"),"Yes","No")</f>
        <v/>
      </c>
    </row>
    <row r="22" ht="64" customHeight="1">
      <c r="A22" s="6" t="inlineStr">
        <is>
          <t>ica-miami</t>
        </is>
      </c>
      <c r="B22" s="6" t="inlineStr">
        <is>
          <t>import</t>
        </is>
      </c>
      <c r="C22" s="6" t="inlineStr">
        <is>
          <t>Institute of Contemporary Art, Miami</t>
        </is>
      </c>
      <c r="D22" s="6" t="inlineStr">
        <is>
          <t>Institute of Contemporary Art, Miami</t>
        </is>
      </c>
      <c r="E22" s="6" t="inlineStr">
        <is>
          <t>61 NE 41st St</t>
        </is>
      </c>
      <c r="F22" s="6" t="inlineStr">
        <is>
          <t>Miami</t>
        </is>
      </c>
      <c r="G22" s="6" t="inlineStr">
        <is>
          <t>FL</t>
        </is>
      </c>
      <c r="H22" s="6" t="inlineStr">
        <is>
          <t>33137</t>
        </is>
      </c>
      <c r="I22" s="6" t="inlineStr">
        <is>
          <t>Design District</t>
        </is>
      </c>
      <c r="J22" s="8" t="n">
        <v>25.8143585</v>
      </c>
      <c r="K22" s="8" t="n">
        <v>-80.1942981</v>
      </c>
      <c r="L22" s="6" t="n"/>
      <c r="M22" s="6" t="n"/>
      <c r="N22" s="6" t="inlineStr">
        <is>
          <t>Free Art, Big Ideas</t>
        </is>
      </c>
      <c r="O22" s="11" t="inlineStr">
        <is>
          <t>A contemporary art museum in the Design District where admission is always free — and the museum is growing into the buildings next door. Zero dollars, maximum strangeness.</t>
        </is>
      </c>
      <c r="P22" s="6" t="inlineStr">
        <is>
          <t>art</t>
        </is>
      </c>
      <c r="Q22" s="6" t="inlineStr">
        <is>
          <t>medium</t>
        </is>
      </c>
      <c r="R22" s="10" t="n">
        <v>150</v>
      </c>
      <c r="S22" s="10" t="n">
        <v>75</v>
      </c>
      <c r="T22" s="6" t="inlineStr">
        <is>
          <t>15–20 min</t>
        </is>
      </c>
      <c r="U22" s="11" t="inlineStr">
        <is>
          <t>Walk in (it's free), explore a floor, and photograph the most wonderfully strange thing you find — where photos are allowed.</t>
        </is>
      </c>
      <c r="V22" s="6" t="inlineStr">
        <is>
          <t>Later, describe that piece to a friend in exactly five words.</t>
        </is>
      </c>
      <c r="W22" s="6" t="n"/>
      <c r="X22" s="6" t="inlineStr">
        <is>
          <t>https://icamiami.org/</t>
        </is>
      </c>
      <c r="Y22" s="6" t="inlineStr">
        <is>
          <t>https://www.yelp.com/biz/institute-of-contemporary-art-miami-miami-2</t>
        </is>
      </c>
      <c r="Z22" s="6" t="inlineStr">
        <is>
          <t>https://www.instagram.com/icamiami/</t>
        </is>
      </c>
      <c r="AA22" s="6" t="inlineStr">
        <is>
          <t>hello@icamiami.org</t>
        </is>
      </c>
      <c r="AB22" s="6" t="inlineStr">
        <is>
          <t>active</t>
        </is>
      </c>
      <c r="AC22" s="6" t="inlineStr">
        <is>
          <t>verified</t>
        </is>
      </c>
      <c r="AD22" s="11" t="inlineStr">
        <is>
          <t>Official site icamiami.org + Yelp listing, checked 2026-07-07</t>
        </is>
      </c>
      <c r="AE22" s="6" t="inlineStr">
        <is>
          <t>2026-07-07</t>
        </is>
      </c>
      <c r="AF22" s="11" t="inlineStr">
        <is>
          <t>Decision maker: Public Programs Head; Contact: hello@icamiami.org. Free admission museum; recently acquired adjacent buildings for expansion. Coordinates not found from a reliable primary source (only general Design District area coords available), left null per verification rules.</t>
        </is>
      </c>
      <c r="AG22" s="7">
        <f>AI22</f>
        <v/>
      </c>
      <c r="AH22" s="7">
        <f>AI22</f>
        <v/>
      </c>
      <c r="AI22" s="7">
        <f>IF(COUNTIF(Quests!$D$4:$D$65,A22)&gt;0,"Yes","No")</f>
        <v/>
      </c>
      <c r="AJ22" s="19">
        <f>IF(AND(AB22="active",AC22="verified",X22&lt;&gt;"",Y22&lt;&gt;"",Z22&lt;&gt;"",W22&lt;&gt;""),"Yes","No")</f>
        <v/>
      </c>
      <c r="AK22" s="7">
        <f>IF(OR(B22="manual_review",Z22="",X22="",AC22&lt;&gt;"verified"),"Yes","No")</f>
        <v/>
      </c>
    </row>
    <row r="23" ht="49" customHeight="1">
      <c r="A23" s="13" t="inlineStr">
        <is>
          <t>bachour-coral-gables</t>
        </is>
      </c>
      <c r="B23" s="13" t="inlineStr">
        <is>
          <t>import</t>
        </is>
      </c>
      <c r="C23" s="13" t="inlineStr">
        <is>
          <t>Bachour</t>
        </is>
      </c>
      <c r="D23" s="13" t="inlineStr">
        <is>
          <t>Bachour Coral Gables</t>
        </is>
      </c>
      <c r="E23" s="13" t="inlineStr">
        <is>
          <t>2020 Salzedo St</t>
        </is>
      </c>
      <c r="F23" s="13" t="inlineStr">
        <is>
          <t>Coral Gables</t>
        </is>
      </c>
      <c r="G23" s="13" t="inlineStr">
        <is>
          <t>FL</t>
        </is>
      </c>
      <c r="H23" s="13" t="inlineStr">
        <is>
          <t>33134</t>
        </is>
      </c>
      <c r="I23" s="13" t="inlineStr">
        <is>
          <t>Coral Gables</t>
        </is>
      </c>
      <c r="J23" s="14" t="n">
        <v>25.7538553</v>
      </c>
      <c r="K23" s="14" t="n">
        <v>-80.2611351</v>
      </c>
      <c r="L23" s="13" t="n"/>
      <c r="M23" s="13" t="n"/>
      <c r="N23" s="13" t="inlineStr">
        <is>
          <t>The Pastry Michelin Knows</t>
        </is>
      </c>
      <c r="O23" s="17" t="inlineStr">
        <is>
          <t>Chef Antonio Bachour's Coral Gables bakery-restaurant carries a Michelin Bib Gourmand — the guide's nod for cooking that seriously over-delivers. The pastry display is the gallery; you're the jury.</t>
        </is>
      </c>
      <c r="P23" s="13" t="inlineStr">
        <is>
          <t>food</t>
        </is>
      </c>
      <c r="Q23" s="13" t="inlineStr">
        <is>
          <t>easy</t>
        </is>
      </c>
      <c r="R23" s="16" t="n">
        <v>50</v>
      </c>
      <c r="S23" s="16" t="n">
        <v>25</v>
      </c>
      <c r="T23" s="13" t="inlineStr">
        <is>
          <t>5–10 min</t>
        </is>
      </c>
      <c r="U23" s="17" t="inlineStr">
        <is>
          <t>Find Bachour on Salzedo St and photograph the pastry display — then pick the one you'd personally award a star.</t>
        </is>
      </c>
      <c r="V23" s="13" t="inlineStr">
        <is>
          <t>Announce your winner with a full chef's kiss. Mwah.</t>
        </is>
      </c>
      <c r="W23" s="13" t="n"/>
      <c r="X23" s="13" t="inlineStr">
        <is>
          <t>https://antoniobachour.com/</t>
        </is>
      </c>
      <c r="Y23" s="13" t="inlineStr">
        <is>
          <t>https://www.yelp.com/biz/bachour-coral-gables</t>
        </is>
      </c>
      <c r="Z23" s="13" t="inlineStr">
        <is>
          <t>https://www.instagram.com/bachourmiami/</t>
        </is>
      </c>
      <c r="AA23" s="13" t="inlineStr">
        <is>
          <t>info@antoniobachour.com</t>
        </is>
      </c>
      <c r="AB23" s="13" t="inlineStr">
        <is>
          <t>active</t>
        </is>
      </c>
      <c r="AC23" s="13" t="inlineStr">
        <is>
          <t>verified</t>
        </is>
      </c>
      <c r="AD23" s="17" t="inlineStr">
        <is>
          <t>Official site antoniobachour.com + Apple Maps geocode, checked 2026-07-07</t>
        </is>
      </c>
      <c r="AE23" s="13" t="inlineStr">
        <is>
          <t>2026-07-07</t>
        </is>
      </c>
      <c r="AF23" s="17" t="inlineStr">
        <is>
          <t>Decision maker: Chef Antonio Bachour; Contact: info@antoniobachour.com. Michelin Bib Gourmand bakery/restaurant. Note: address is technically in Coral Gables (a separate municipality), not Miami proper.</t>
        </is>
      </c>
      <c r="AG23" s="7">
        <f>AI23</f>
        <v/>
      </c>
      <c r="AH23" s="7">
        <f>AI23</f>
        <v/>
      </c>
      <c r="AI23" s="7">
        <f>IF(COUNTIF(Quests!$D$4:$D$65,A23)&gt;0,"Yes","No")</f>
        <v/>
      </c>
      <c r="AJ23" s="19">
        <f>IF(AND(AB23="active",AC23="verified",X23&lt;&gt;"",Y23&lt;&gt;"",Z23&lt;&gt;"",W23&lt;&gt;""),"Yes","No")</f>
        <v/>
      </c>
      <c r="AK23" s="7">
        <f>IF(OR(B23="manual_review",Z23="",X23="",AC23&lt;&gt;"verified"),"Yes","No")</f>
        <v/>
      </c>
    </row>
    <row r="24" ht="49" customHeight="1">
      <c r="A24" s="6" t="inlineStr">
        <is>
          <t>temple-house-south-beach</t>
        </is>
      </c>
      <c r="B24" s="6" t="inlineStr">
        <is>
          <t>import</t>
        </is>
      </c>
      <c r="C24" s="6" t="inlineStr">
        <is>
          <t>The Temple House</t>
        </is>
      </c>
      <c r="D24" s="6" t="inlineStr">
        <is>
          <t>The Temple House</t>
        </is>
      </c>
      <c r="E24" s="6" t="inlineStr">
        <is>
          <t>1415 Euclid Ave</t>
        </is>
      </c>
      <c r="F24" s="6" t="inlineStr">
        <is>
          <t>Miami Beach</t>
        </is>
      </c>
      <c r="G24" s="6" t="inlineStr">
        <is>
          <t>FL</t>
        </is>
      </c>
      <c r="H24" s="6" t="inlineStr">
        <is>
          <t>33139</t>
        </is>
      </c>
      <c r="I24" s="6" t="inlineStr">
        <is>
          <t>South Beach</t>
        </is>
      </c>
      <c r="J24" s="8" t="n">
        <v>25.785967</v>
      </c>
      <c r="K24" s="8" t="n">
        <v>-80.134925</v>
      </c>
      <c r="L24" s="6" t="n"/>
      <c r="M24" s="6" t="n"/>
      <c r="N24" s="6" t="inlineStr">
        <is>
          <t>Deco in Disguise</t>
        </is>
      </c>
      <c r="O24" s="11" t="inlineStr">
        <is>
          <t>Architect L. Murray Dixon built this South Beach landmark in 1933; today it's a private event space hiding on quiet Euclid Avenue. You can't wander inside uninvited — but the Art Deco facade belongs to everyone.</t>
        </is>
      </c>
      <c r="P24" s="6" t="inlineStr">
        <is>
          <t>culture</t>
        </is>
      </c>
      <c r="Q24" s="6" t="inlineStr">
        <is>
          <t>easy</t>
        </is>
      </c>
      <c r="R24" s="10" t="n">
        <v>50</v>
      </c>
      <c r="S24" s="10" t="n">
        <v>25</v>
      </c>
      <c r="T24" s="6" t="inlineStr">
        <is>
          <t>5–10 min</t>
        </is>
      </c>
      <c r="U24" s="11" t="inlineStr">
        <is>
          <t>Find the 1933 Temple House on Euclid Ave and photograph its Art Deco facade from the sidewalk.</t>
        </is>
      </c>
      <c r="V24" s="6" t="inlineStr">
        <is>
          <t>Frame your shot like a 1930s postcard. Caption it 'Greetings from Miami Beach.'</t>
        </is>
      </c>
      <c r="W24" s="6" t="n"/>
      <c r="X24" s="6" t="inlineStr">
        <is>
          <t>https://thetemplehouse.com/</t>
        </is>
      </c>
      <c r="Y24" s="6" t="inlineStr">
        <is>
          <t>https://www.yelp.com/biz/the-temple-house-miami-beach</t>
        </is>
      </c>
      <c r="Z24" s="6" t="inlineStr">
        <is>
          <t>https://www.instagram.com/thetemplehouse/</t>
        </is>
      </c>
      <c r="AA24" s="6" t="inlineStr">
        <is>
          <t>info@thetemplehouse.com</t>
        </is>
      </c>
      <c r="AB24" s="6" t="inlineStr">
        <is>
          <t>active</t>
        </is>
      </c>
      <c r="AC24" s="6" t="inlineStr">
        <is>
          <t>verified</t>
        </is>
      </c>
      <c r="AD24" s="11" t="inlineStr">
        <is>
          <t>Official site thetemplehouse.com + Yelp/Google Maps listing, checked 2026-07-07</t>
        </is>
      </c>
      <c r="AE24" s="6" t="inlineStr">
        <is>
          <t>2026-07-07</t>
        </is>
      </c>
      <c r="AF24" s="11" t="inlineStr">
        <is>
          <t>Decision maker: Events Director; Contact: info@thetemplehouse.com. Private, standalone Art Deco event venue (1933 building by L. Murray Dixon), capacity 1-500 guests.</t>
        </is>
      </c>
      <c r="AG24" s="7">
        <f>AI24</f>
        <v/>
      </c>
      <c r="AH24" s="7">
        <f>AI24</f>
        <v/>
      </c>
      <c r="AI24" s="7">
        <f>IF(COUNTIF(Quests!$D$4:$D$65,A24)&gt;0,"Yes","No")</f>
        <v/>
      </c>
      <c r="AJ24" s="19">
        <f>IF(AND(AB24="active",AC24="verified",X24&lt;&gt;"",Y24&lt;&gt;"",Z24&lt;&gt;"",W24&lt;&gt;""),"Yes","No")</f>
        <v/>
      </c>
      <c r="AK24" s="7">
        <f>IF(OR(B24="manual_review",Z24="",X24="",AC24&lt;&gt;"verified"),"Yes","No")</f>
        <v/>
      </c>
    </row>
    <row r="25" ht="34" customHeight="1">
      <c r="A25" s="13" t="inlineStr">
        <is>
          <t>e11even-miami</t>
        </is>
      </c>
      <c r="B25" s="13" t="inlineStr">
        <is>
          <t>import</t>
        </is>
      </c>
      <c r="C25" s="13" t="inlineStr">
        <is>
          <t>E11EVEN Miami</t>
        </is>
      </c>
      <c r="D25" s="13" t="inlineStr">
        <is>
          <t>E11EVEN Miami</t>
        </is>
      </c>
      <c r="E25" s="13" t="inlineStr">
        <is>
          <t>29 NE 11th St</t>
        </is>
      </c>
      <c r="F25" s="13" t="inlineStr">
        <is>
          <t>Miami</t>
        </is>
      </c>
      <c r="G25" s="13" t="inlineStr">
        <is>
          <t>FL</t>
        </is>
      </c>
      <c r="H25" s="13" t="inlineStr">
        <is>
          <t>33132</t>
        </is>
      </c>
      <c r="I25" s="13" t="inlineStr">
        <is>
          <t>Downtown Miami</t>
        </is>
      </c>
      <c r="J25" s="14" t="n">
        <v>25.7849579</v>
      </c>
      <c r="K25" s="14" t="n">
        <v>-80.1935969</v>
      </c>
      <c r="L25" s="13" t="inlineStr">
        <is>
          <t>Open 24 hours</t>
        </is>
      </c>
      <c r="M25" s="13" t="inlineStr">
        <is>
          <t>21+ only</t>
        </is>
      </c>
      <c r="N25" s="13" t="inlineStr">
        <is>
          <t>The Club That Never Sleeps</t>
        </is>
      </c>
      <c r="O25" s="17" t="inlineStr">
        <is>
          <t>A 24-hour ultraclub ranked among the best on the planet — Downtown Miami's round-the-clock heartbeat. Whatever hour you arrive, you're on time. 21+ only.</t>
        </is>
      </c>
      <c r="P25" s="13" t="inlineStr">
        <is>
          <t>nightlife</t>
        </is>
      </c>
      <c r="Q25" s="13" t="inlineStr">
        <is>
          <t>medium</t>
        </is>
      </c>
      <c r="R25" s="16" t="n">
        <v>150</v>
      </c>
      <c r="S25" s="16" t="n">
        <v>75</v>
      </c>
      <c r="T25" s="13" t="inlineStr">
        <is>
          <t>10–20 min</t>
        </is>
      </c>
      <c r="U25" s="17" t="inlineStr">
        <is>
          <t>Make it to E11EVEN — any hour works, it never closes — and capture proof you found Miami's 24-hour ultraclub.</t>
        </is>
      </c>
      <c r="V25" s="13" t="inlineStr">
        <is>
          <t>Caption your photo with the exact time you were there. Sunrise entries earn eternal respect.</t>
        </is>
      </c>
      <c r="W25" s="13" t="n"/>
      <c r="X25" s="13" t="inlineStr">
        <is>
          <t>https://www.11miami.com/</t>
        </is>
      </c>
      <c r="Y25" s="13" t="inlineStr">
        <is>
          <t>https://www.yelp.com/biz/e11even-miami-4</t>
        </is>
      </c>
      <c r="Z25" s="13" t="inlineStr">
        <is>
          <t>https://www.instagram.com/11miami/</t>
        </is>
      </c>
      <c r="AA25" s="13" t="inlineStr">
        <is>
          <t>info@11miami.com</t>
        </is>
      </c>
      <c r="AB25" s="13" t="inlineStr">
        <is>
          <t>active</t>
        </is>
      </c>
      <c r="AC25" s="13" t="inlineStr">
        <is>
          <t>verified</t>
        </is>
      </c>
      <c r="AD25" s="17" t="inlineStr">
        <is>
          <t>Official site 11miami.com + Apple Maps geocode + Yelp, checked 2026-07-07</t>
        </is>
      </c>
      <c r="AE25" s="13" t="inlineStr">
        <is>
          <t>2026-07-07</t>
        </is>
      </c>
      <c r="AF25" s="17" t="inlineStr">
        <is>
          <t>Decision maker: Marketing VP; Contact: info@11miami.com. 24-hour ultraclub, 21+ only, ranked among top clubs globally.</t>
        </is>
      </c>
      <c r="AG25" s="7">
        <f>AI25</f>
        <v/>
      </c>
      <c r="AH25" s="7">
        <f>AI25</f>
        <v/>
      </c>
      <c r="AI25" s="7">
        <f>IF(COUNTIF(Quests!$D$4:$D$65,A25)&gt;0,"Yes","No")</f>
        <v/>
      </c>
      <c r="AJ25" s="19">
        <f>IF(AND(AB25="active",AC25="verified",X25&lt;&gt;"",Y25&lt;&gt;"",Z25&lt;&gt;"",W25&lt;&gt;""),"Yes","No")</f>
        <v/>
      </c>
      <c r="AK25" s="7">
        <f>IF(OR(B25="manual_review",Z25="",X25="",AC25&lt;&gt;"verified"),"Yes","No")</f>
        <v/>
      </c>
    </row>
    <row r="26" ht="79" customHeight="1">
      <c r="A26" s="6" t="inlineStr">
        <is>
          <t>sugar-rooftop-east-miami</t>
        </is>
      </c>
      <c r="B26" s="6" t="inlineStr">
        <is>
          <t>import</t>
        </is>
      </c>
      <c r="C26" s="6" t="inlineStr">
        <is>
          <t>Sugar</t>
        </is>
      </c>
      <c r="D26" s="6" t="inlineStr">
        <is>
          <t>Sugar Rooftop at EAST, Miami</t>
        </is>
      </c>
      <c r="E26" s="6" t="inlineStr">
        <is>
          <t>788 Brickell Plaza, Floor 40</t>
        </is>
      </c>
      <c r="F26" s="6" t="inlineStr">
        <is>
          <t>Miami</t>
        </is>
      </c>
      <c r="G26" s="6" t="inlineStr">
        <is>
          <t>FL</t>
        </is>
      </c>
      <c r="H26" s="6" t="inlineStr">
        <is>
          <t>33131</t>
        </is>
      </c>
      <c r="I26" s="6" t="inlineStr">
        <is>
          <t>Brickell</t>
        </is>
      </c>
      <c r="J26" s="8" t="n">
        <v>25.766606</v>
      </c>
      <c r="K26" s="8" t="n">
        <v>-80.1928702</v>
      </c>
      <c r="L26" s="6" t="n"/>
      <c r="M26" s="6" t="n"/>
      <c r="N26" s="6" t="inlineStr">
        <is>
          <t>Forty Floors Up</t>
        </is>
      </c>
      <c r="O26" s="11" t="inlineStr">
        <is>
          <t>Ride to the 40th floor of EAST Miami and step into a Balinese-inspired rooftop garden floating over Brickell. Up here the skyline isn't the backdrop — it's the whole show.</t>
        </is>
      </c>
      <c r="P26" s="6" t="inlineStr">
        <is>
          <t>nightlife</t>
        </is>
      </c>
      <c r="Q26" s="6" t="inlineStr">
        <is>
          <t>medium</t>
        </is>
      </c>
      <c r="R26" s="10" t="n">
        <v>150</v>
      </c>
      <c r="S26" s="10" t="n">
        <v>75</v>
      </c>
      <c r="T26" s="6" t="inlineStr">
        <is>
          <t>10–20 min</t>
        </is>
      </c>
      <c r="U26" s="11" t="inlineStr">
        <is>
          <t>Reach Sugar on EAST Miami's 40th floor and capture the Brickell skyline from the rooftop.</t>
        </is>
      </c>
      <c r="V26" s="6" t="inlineStr">
        <is>
          <t>Point at the tallest tower you can see and calmly claim it as your future office.</t>
        </is>
      </c>
      <c r="W26" s="6" t="n"/>
      <c r="X26" s="6" t="inlineStr">
        <is>
          <t>https://www.easthotels.com/en/miami/restaurants-and-bars/sugar/</t>
        </is>
      </c>
      <c r="Y26" s="6" t="inlineStr">
        <is>
          <t>https://www.yelp.com/biz/sugar-miami-2</t>
        </is>
      </c>
      <c r="Z26" s="6" t="inlineStr">
        <is>
          <t>https://www.instagram.com/sugar.rooftop/</t>
        </is>
      </c>
      <c r="AA26" s="6" t="inlineStr">
        <is>
          <t>sugar@easthotels.com</t>
        </is>
      </c>
      <c r="AB26" s="6" t="inlineStr">
        <is>
          <t>active</t>
        </is>
      </c>
      <c r="AC26" s="6" t="inlineStr">
        <is>
          <t>verified</t>
        </is>
      </c>
      <c r="AD26" s="11" t="inlineStr">
        <is>
          <t>Official site easthotels.com + Yelp + Instagram search, checked 2026-07-07</t>
        </is>
      </c>
      <c r="AE26" s="6" t="inlineStr">
        <is>
          <t>2026-07-07</t>
        </is>
      </c>
      <c r="AF26" s="11" t="inlineStr">
        <is>
          <t>Decision maker: Director of Nightlife; Contact: sugar@easthotels.com. Correction: input Instagram handle '@sugarmiami' is incorrect - the venue's real active Instagram account is @sugar.rooftop (56K followers). 40th-floor Balinese-inspired rooftop bar at EAST, Miami hotel. Precise coordinates not found from a reliable source, left null.</t>
        </is>
      </c>
      <c r="AG26" s="7">
        <f>AI26</f>
        <v/>
      </c>
      <c r="AH26" s="7">
        <f>AI26</f>
        <v/>
      </c>
      <c r="AI26" s="7">
        <f>IF(COUNTIF(Quests!$D$4:$D$65,A26)&gt;0,"Yes","No")</f>
        <v/>
      </c>
      <c r="AJ26" s="19">
        <f>IF(AND(AB26="active",AC26="verified",X26&lt;&gt;"",Y26&lt;&gt;"",Z26&lt;&gt;"",W26&lt;&gt;""),"Yes","No")</f>
        <v/>
      </c>
      <c r="AK26" s="7">
        <f>IF(OR(B26="manual_review",Z26="",X26="",AC26&lt;&gt;"verified"),"Yes","No")</f>
        <v/>
      </c>
    </row>
    <row r="27" ht="64" customHeight="1">
      <c r="A27" s="13" t="inlineStr">
        <is>
          <t>lagniappe-house-midtown</t>
        </is>
      </c>
      <c r="B27" s="13" t="inlineStr">
        <is>
          <t>import</t>
        </is>
      </c>
      <c r="C27" s="13" t="inlineStr">
        <is>
          <t>Lagniappe House</t>
        </is>
      </c>
      <c r="D27" s="13" t="inlineStr">
        <is>
          <t>Lagniappe</t>
        </is>
      </c>
      <c r="E27" s="13" t="inlineStr">
        <is>
          <t>3425 NE 2nd Ave</t>
        </is>
      </c>
      <c r="F27" s="13" t="inlineStr">
        <is>
          <t>Miami</t>
        </is>
      </c>
      <c r="G27" s="13" t="inlineStr">
        <is>
          <t>FL</t>
        </is>
      </c>
      <c r="H27" s="13" t="inlineStr">
        <is>
          <t>33137</t>
        </is>
      </c>
      <c r="I27" s="13" t="inlineStr">
        <is>
          <t>Midtown / Wynwood-Edgewater</t>
        </is>
      </c>
      <c r="J27" s="14" t="n">
        <v>25.8090466</v>
      </c>
      <c r="K27" s="14" t="n">
        <v>-80.19100539999999</v>
      </c>
      <c r="L27" s="13" t="n"/>
      <c r="M27" s="13" t="n"/>
      <c r="N27" s="13" t="inlineStr">
        <is>
          <t>A Little Something Extra</t>
        </is>
      </c>
      <c r="O27" s="17" t="inlineStr">
        <is>
          <t>'Lagniappe' is an old Louisiana word for a little unexpected bonus — and this award-winning wine bar and jazz house on the Wynwood-Edgewater border lives up to it, all the way to the garden out back.</t>
        </is>
      </c>
      <c r="P27" s="13" t="inlineStr">
        <is>
          <t>nightlife</t>
        </is>
      </c>
      <c r="Q27" s="13" t="inlineStr">
        <is>
          <t>medium</t>
        </is>
      </c>
      <c r="R27" s="16" t="n">
        <v>150</v>
      </c>
      <c r="S27" s="16" t="n">
        <v>75</v>
      </c>
      <c r="T27" s="13" t="inlineStr">
        <is>
          <t>15–20 min</t>
        </is>
      </c>
      <c r="U27" s="17" t="inlineStr">
        <is>
          <t>Explore the house, find the garden, and settle in. Photograph your spot.</t>
        </is>
      </c>
      <c r="V27" s="13" t="inlineStr">
        <is>
          <t>Use 'lagniappe' in a sentence on your way out. Bonus points if it lands naturally.</t>
        </is>
      </c>
      <c r="W27" s="13" t="n"/>
      <c r="X27" s="13" t="inlineStr">
        <is>
          <t>http://www.lagniappehouse.com/</t>
        </is>
      </c>
      <c r="Y27" s="13" t="inlineStr">
        <is>
          <t>https://www.yelp.com/biz/lagniappe-miami-3</t>
        </is>
      </c>
      <c r="Z27" s="13" t="inlineStr">
        <is>
          <t>https://www.instagram.com/lagniappehouse/</t>
        </is>
      </c>
      <c r="AA27" s="13" t="inlineStr">
        <is>
          <t>info@lagniappehouse.com</t>
        </is>
      </c>
      <c r="AB27" s="13" t="inlineStr">
        <is>
          <t>active</t>
        </is>
      </c>
      <c r="AC27" s="13" t="inlineStr">
        <is>
          <t>verified</t>
        </is>
      </c>
      <c r="AD27" s="17" t="inlineStr">
        <is>
          <t>Official site lagniappehouse.com + Yelp listing, checked 2026-07-07</t>
        </is>
      </c>
      <c r="AE27" s="13" t="inlineStr">
        <is>
          <t>2026-07-07</t>
        </is>
      </c>
      <c r="AF27" s="17" t="inlineStr">
        <is>
          <t>Decision maker: Owner/Operator; Contact: info@lagniappehouse.com. Award-winning wine bar and jazz club with garden seating. Some listings place it at the Wynwood-Edgewater border rather than Midtown proper. Precise coordinates not found from a reliable source, left null.</t>
        </is>
      </c>
      <c r="AG27" s="7">
        <f>AI27</f>
        <v/>
      </c>
      <c r="AH27" s="7">
        <f>AI27</f>
        <v/>
      </c>
      <c r="AI27" s="7">
        <f>IF(COUNTIF(Quests!$D$4:$D$65,A27)&gt;0,"Yes","No")</f>
        <v/>
      </c>
      <c r="AJ27" s="19">
        <f>IF(AND(AB27="active",AC27="verified",X27&lt;&gt;"",Y27&lt;&gt;"",Z27&lt;&gt;"",W27&lt;&gt;""),"Yes","No")</f>
        <v/>
      </c>
      <c r="AK27" s="7">
        <f>IF(OR(B27="manual_review",Z27="",X27="",AC27&lt;&gt;"verified"),"Yes","No")</f>
        <v/>
      </c>
    </row>
    <row r="28" ht="49" customHeight="1">
      <c r="A28" s="6" t="inlineStr">
        <is>
          <t>dantes-hifi-wynwood</t>
        </is>
      </c>
      <c r="B28" s="6" t="inlineStr">
        <is>
          <t>import</t>
        </is>
      </c>
      <c r="C28" s="6" t="inlineStr">
        <is>
          <t>Dante's HiFi</t>
        </is>
      </c>
      <c r="D28" s="6" t="inlineStr">
        <is>
          <t>Dante's HiFi</t>
        </is>
      </c>
      <c r="E28" s="6" t="inlineStr">
        <is>
          <t>519 NW 26th St</t>
        </is>
      </c>
      <c r="F28" s="6" t="inlineStr">
        <is>
          <t>Miami</t>
        </is>
      </c>
      <c r="G28" s="6" t="inlineStr">
        <is>
          <t>FL</t>
        </is>
      </c>
      <c r="H28" s="6" t="inlineStr">
        <is>
          <t>33127</t>
        </is>
      </c>
      <c r="I28" s="6" t="inlineStr">
        <is>
          <t>Wynwood</t>
        </is>
      </c>
      <c r="J28" s="8" t="n">
        <v>25.8011178</v>
      </c>
      <c r="K28" s="8" t="n">
        <v>-80.2037057</v>
      </c>
      <c r="L28" s="6" t="n"/>
      <c r="M28" s="6" t="n"/>
      <c r="N28" s="6" t="inlineStr">
        <is>
          <t>Drop the Needle</t>
        </is>
      </c>
      <c r="O28" s="11" t="inlineStr">
        <is>
          <t>A vinyl listening bar in Wynwood where the records are the headliner. This is nightlife at 33⅓ RPM: sit down, tune in, and let someone else's crates change your taste.</t>
        </is>
      </c>
      <c r="P28" s="6" t="inlineStr">
        <is>
          <t>nightlife</t>
        </is>
      </c>
      <c r="Q28" s="6" t="inlineStr">
        <is>
          <t>medium</t>
        </is>
      </c>
      <c r="R28" s="10" t="n">
        <v>150</v>
      </c>
      <c r="S28" s="10" t="n">
        <v>75</v>
      </c>
      <c r="T28" s="6" t="inlineStr">
        <is>
          <t>15–20 min</t>
        </is>
      </c>
      <c r="U28" s="11" t="inlineStr">
        <is>
          <t>Find Dante's HiFi and stay through at least one full song with your phone down. Then capture one discreet photo of the night.</t>
        </is>
      </c>
      <c r="V28" s="6" t="inlineStr">
        <is>
          <t>Drop the song that was playing into your Community Note — future adventurers will thank you.</t>
        </is>
      </c>
      <c r="W28" s="6" t="n"/>
      <c r="X28" s="6" t="inlineStr">
        <is>
          <t>https://danteshifi.com/</t>
        </is>
      </c>
      <c r="Y28" s="6" t="inlineStr">
        <is>
          <t>https://www.yelp.com/biz/dantes-hifi-miami</t>
        </is>
      </c>
      <c r="Z28" s="6" t="inlineStr">
        <is>
          <t>https://www.instagram.com/danteshifi/</t>
        </is>
      </c>
      <c r="AA28" s="6" t="inlineStr">
        <is>
          <t>info@danteshifi.com</t>
        </is>
      </c>
      <c r="AB28" s="6" t="inlineStr">
        <is>
          <t>active</t>
        </is>
      </c>
      <c r="AC28" s="6" t="inlineStr">
        <is>
          <t>verified</t>
        </is>
      </c>
      <c r="AD28" s="11" t="inlineStr">
        <is>
          <t>Official site danteshifi.com + Apple Maps geocode + Yelp, checked 2026-07-07</t>
        </is>
      </c>
      <c r="AE28" s="6" t="inlineStr">
        <is>
          <t>2026-07-07</t>
        </is>
      </c>
      <c r="AF28" s="11" t="inlineStr">
        <is>
          <t>Decision maker: Creative Director; Contact: info@danteshifi.com. Vinyl listening bar/lounge in Wynwood.</t>
        </is>
      </c>
      <c r="AG28" s="7">
        <f>AI28</f>
        <v/>
      </c>
      <c r="AH28" s="7">
        <f>AI28</f>
        <v/>
      </c>
      <c r="AI28" s="7">
        <f>IF(COUNTIF(Quests!$D$4:$D$65,A28)&gt;0,"Yes","No")</f>
        <v/>
      </c>
      <c r="AJ28" s="19">
        <f>IF(AND(AB28="active",AC28="verified",X28&lt;&gt;"",Y28&lt;&gt;"",Z28&lt;&gt;"",W28&lt;&gt;""),"Yes","No")</f>
        <v/>
      </c>
      <c r="AK28" s="7">
        <f>IF(OR(B28="manual_review",Z28="",X28="",AC28&lt;&gt;"verified"),"Yes","No")</f>
        <v/>
      </c>
    </row>
    <row r="29" ht="49" customHeight="1">
      <c r="A29" s="13" t="inlineStr">
        <is>
          <t>superblue-miami</t>
        </is>
      </c>
      <c r="B29" s="13" t="inlineStr">
        <is>
          <t>import</t>
        </is>
      </c>
      <c r="C29" s="13" t="inlineStr">
        <is>
          <t>Superblue Miami</t>
        </is>
      </c>
      <c r="D29" s="13" t="inlineStr">
        <is>
          <t>Superblue Miami</t>
        </is>
      </c>
      <c r="E29" s="13" t="inlineStr">
        <is>
          <t>1101 NW 23rd St</t>
        </is>
      </c>
      <c r="F29" s="13" t="inlineStr">
        <is>
          <t>Miami</t>
        </is>
      </c>
      <c r="G29" s="13" t="inlineStr">
        <is>
          <t>FL</t>
        </is>
      </c>
      <c r="H29" s="13" t="inlineStr">
        <is>
          <t>33127</t>
        </is>
      </c>
      <c r="I29" s="13" t="inlineStr">
        <is>
          <t>Allapattah</t>
        </is>
      </c>
      <c r="J29" s="14" t="n">
        <v>25.7991925</v>
      </c>
      <c r="K29" s="14" t="n">
        <v>-80.2138844</v>
      </c>
      <c r="L29" s="13" t="n"/>
      <c r="M29" s="13" t="n"/>
      <c r="N29" s="13" t="inlineStr">
        <is>
          <t>Step Inside the Art</t>
        </is>
      </c>
      <c r="O29" s="17" t="inlineStr">
        <is>
          <t>In Allapattah, directly across from the Rubell Museum, Superblue trades picture frames for entire rooms. You don't look at this art — you walk into it.</t>
        </is>
      </c>
      <c r="P29" s="13" t="inlineStr">
        <is>
          <t>art</t>
        </is>
      </c>
      <c r="Q29" s="13" t="inlineStr">
        <is>
          <t>medium</t>
        </is>
      </c>
      <c r="R29" s="16" t="n">
        <v>150</v>
      </c>
      <c r="S29" s="16" t="n">
        <v>75</v>
      </c>
      <c r="T29" s="13" t="inlineStr">
        <is>
          <t>15–20 min</t>
        </is>
      </c>
      <c r="U29" s="17" t="inlineStr">
        <is>
          <t>Lose yourself in an immersive room and photograph the moment reality bends.</t>
        </is>
      </c>
      <c r="V29" s="13" t="inlineStr">
        <is>
          <t>Take one photo where it's genuinely impossible to tell which way is up.</t>
        </is>
      </c>
      <c r="W29" s="13" t="n"/>
      <c r="X29" s="13" t="inlineStr">
        <is>
          <t>https://www.superblue.com/</t>
        </is>
      </c>
      <c r="Y29" s="13" t="inlineStr">
        <is>
          <t>https://www.yelp.com/biz/superblue-miami-miami-2</t>
        </is>
      </c>
      <c r="Z29" s="13" t="inlineStr">
        <is>
          <t>https://www.instagram.com/superbluemiami/</t>
        </is>
      </c>
      <c r="AA29" s="13" t="inlineStr">
        <is>
          <t>info@superblue.com</t>
        </is>
      </c>
      <c r="AB29" s="13" t="inlineStr">
        <is>
          <t>active</t>
        </is>
      </c>
      <c r="AC29" s="13" t="inlineStr">
        <is>
          <t>verified</t>
        </is>
      </c>
      <c r="AD29" s="17" t="inlineStr">
        <is>
          <t>Official site superblue.com + Google Maps place listing + Yelp, checked 2026-07-07</t>
        </is>
      </c>
      <c r="AE29" s="13" t="inlineStr">
        <is>
          <t>2026-07-07</t>
        </is>
      </c>
      <c r="AF29" s="17" t="inlineStr">
        <is>
          <t>Decision maker: Operations Director; Contact: info@superblue.com. Immersive experiential art space located across from the Rubell Museum in Allapattah; input neighborhood 'Allapattah / Edge' normalized to Allapattah.</t>
        </is>
      </c>
      <c r="AG29" s="7">
        <f>AI29</f>
        <v/>
      </c>
      <c r="AH29" s="7">
        <f>AI29</f>
        <v/>
      </c>
      <c r="AI29" s="7">
        <f>IF(COUNTIF(Quests!$D$4:$D$65,A29)&gt;0,"Yes","No")</f>
        <v/>
      </c>
      <c r="AJ29" s="19">
        <f>IF(AND(AB29="active",AC29="verified",X29&lt;&gt;"",Y29&lt;&gt;"",Z29&lt;&gt;"",W29&lt;&gt;""),"Yes","No")</f>
        <v/>
      </c>
      <c r="AK29" s="7">
        <f>IF(OR(B29="manual_review",Z29="",X29="",AC29&lt;&gt;"verified"),"Yes","No")</f>
        <v/>
      </c>
    </row>
    <row r="30" ht="64" customHeight="1">
      <c r="A30" s="6" t="inlineStr">
        <is>
          <t>standard-spa-miami-beach</t>
        </is>
      </c>
      <c r="B30" s="6" t="inlineStr">
        <is>
          <t>import</t>
        </is>
      </c>
      <c r="C30" s="6" t="inlineStr">
        <is>
          <t>The Standard Spa, Miami Beach</t>
        </is>
      </c>
      <c r="D30" s="6" t="inlineStr">
        <is>
          <t>The Standard Spa, Miami Beach</t>
        </is>
      </c>
      <c r="E30" s="6" t="inlineStr">
        <is>
          <t>40 Island Ave</t>
        </is>
      </c>
      <c r="F30" s="6" t="inlineStr">
        <is>
          <t>Miami Beach</t>
        </is>
      </c>
      <c r="G30" s="6" t="inlineStr">
        <is>
          <t>FL</t>
        </is>
      </c>
      <c r="H30" s="6" t="inlineStr">
        <is>
          <t>33139</t>
        </is>
      </c>
      <c r="I30" s="6" t="inlineStr">
        <is>
          <t>Belle Isle / South Beach</t>
        </is>
      </c>
      <c r="J30" s="8" t="n">
        <v>25.79175</v>
      </c>
      <c r="K30" s="8" t="n">
        <v>-80.149086</v>
      </c>
      <c r="L30" s="6" t="n"/>
      <c r="M30" s="6" t="n"/>
      <c r="N30" s="6" t="inlineStr">
        <is>
          <t>Island of Calm</t>
        </is>
      </c>
      <c r="O30" s="11" t="inlineStr">
        <is>
          <t>An adults-only spa hideaway on Belle Isle, floating between Miami and Miami Beach. The quest is the journey: leave the mainland pace behind and find the island where wellness is the whole point.</t>
        </is>
      </c>
      <c r="P30" s="6" t="inlineStr">
        <is>
          <t>fitness</t>
        </is>
      </c>
      <c r="Q30" s="6" t="inlineStr">
        <is>
          <t>medium</t>
        </is>
      </c>
      <c r="R30" s="10" t="n">
        <v>150</v>
      </c>
      <c r="S30" s="10" t="n">
        <v>75</v>
      </c>
      <c r="T30" s="6" t="inlineStr">
        <is>
          <t>10–15 min</t>
        </is>
      </c>
      <c r="U30" s="11" t="inlineStr">
        <is>
          <t>Make your way onto Belle Isle and find the entrance to The Standard. Photograph your arrival.</t>
        </is>
      </c>
      <c r="V30" s="6" t="inlineStr">
        <is>
          <t>Take one deep, dramatic spa breath at the entrance. In through the nose. You've earned it.</t>
        </is>
      </c>
      <c r="W30" s="6" t="n"/>
      <c r="X30" s="6" t="inlineStr">
        <is>
          <t>https://www.standardhotels.com/miami/properties/miami-beach</t>
        </is>
      </c>
      <c r="Y30" s="6" t="inlineStr">
        <is>
          <t>https://www.yelp.com/biz/the-standard-spa-hotel-miami-beach</t>
        </is>
      </c>
      <c r="Z30" s="6" t="inlineStr">
        <is>
          <t>https://www.instagram.com/thestandardmiami/</t>
        </is>
      </c>
      <c r="AA30" s="6" t="inlineStr">
        <is>
          <t>spa.miami@standardhotels.com</t>
        </is>
      </c>
      <c r="AB30" s="6" t="inlineStr">
        <is>
          <t>active</t>
        </is>
      </c>
      <c r="AC30" s="6" t="inlineStr">
        <is>
          <t>verified</t>
        </is>
      </c>
      <c r="AD30" s="11" t="inlineStr">
        <is>
          <t>Official site standardhotels.com + Yelp + Google Maps listing, checked 2026-07-07</t>
        </is>
      </c>
      <c r="AE30" s="6" t="inlineStr">
        <is>
          <t>2026-07-07</t>
        </is>
      </c>
      <c r="AF30" s="11" t="inlineStr">
        <is>
          <t>Decision maker: Spa Director; Contact: spa.miami@standardhotels.com. Correction: input Instagram handle '@thestandard' is the global brand account (188K followers); the property-specific account is @thestandardmiami (23K followers) - used the latter as more accurate. Adults-only hotel/spa on Belle Isle.</t>
        </is>
      </c>
      <c r="AG30" s="7">
        <f>AI30</f>
        <v/>
      </c>
      <c r="AH30" s="7">
        <f>AI30</f>
        <v/>
      </c>
      <c r="AI30" s="7">
        <f>IF(COUNTIF(Quests!$D$4:$D$65,A30)&gt;0,"Yes","No")</f>
        <v/>
      </c>
      <c r="AJ30" s="19">
        <f>IF(AND(AB30="active",AC30="verified",X30&lt;&gt;"",Y30&lt;&gt;"",Z30&lt;&gt;"",W30&lt;&gt;""),"Yes","No")</f>
        <v/>
      </c>
      <c r="AK30" s="7">
        <f>IF(OR(B30="manual_review",Z30="",X30="",AC30&lt;&gt;"verified"),"Yes","No")</f>
        <v/>
      </c>
    </row>
    <row r="31" ht="34" customHeight="1">
      <c r="A31" s="13" t="inlineStr">
        <is>
          <t>komodo-brickell</t>
        </is>
      </c>
      <c r="B31" s="13" t="inlineStr">
        <is>
          <t>import</t>
        </is>
      </c>
      <c r="C31" s="13" t="inlineStr">
        <is>
          <t>Komodo Miami</t>
        </is>
      </c>
      <c r="D31" s="13" t="inlineStr">
        <is>
          <t>Komodo Miami</t>
        </is>
      </c>
      <c r="E31" s="13" t="inlineStr">
        <is>
          <t>801 Brickell Ave</t>
        </is>
      </c>
      <c r="F31" s="13" t="inlineStr">
        <is>
          <t>Miami</t>
        </is>
      </c>
      <c r="G31" s="13" t="inlineStr">
        <is>
          <t>FL</t>
        </is>
      </c>
      <c r="H31" s="13" t="inlineStr">
        <is>
          <t>33131</t>
        </is>
      </c>
      <c r="I31" s="13" t="inlineStr">
        <is>
          <t>Brickell</t>
        </is>
      </c>
      <c r="J31" s="14" t="n">
        <v>25.7656196</v>
      </c>
      <c r="K31" s="14" t="n">
        <v>-80.1901639</v>
      </c>
      <c r="L31" s="13" t="n"/>
      <c r="M31" s="13" t="n"/>
      <c r="N31" s="13" t="inlineStr">
        <is>
          <t>Dragon Hunting in Brickell</t>
        </is>
      </c>
      <c r="O31" s="17" t="inlineStr">
        <is>
          <t>Named after the world's largest lizard and built to match, Komodo is Brickell dining at full spectacle. Come see why this corner of Brickell Avenue roars.</t>
        </is>
      </c>
      <c r="P31" s="13" t="inlineStr">
        <is>
          <t>food</t>
        </is>
      </c>
      <c r="Q31" s="13" t="inlineStr">
        <is>
          <t>medium</t>
        </is>
      </c>
      <c r="R31" s="16" t="n">
        <v>150</v>
      </c>
      <c r="S31" s="16" t="n">
        <v>75</v>
      </c>
      <c r="T31" s="13" t="inlineStr">
        <is>
          <t>10–15 min</t>
        </is>
      </c>
      <c r="U31" s="17" t="inlineStr">
        <is>
          <t>Track down Komodo on Brickell Ave and photograph the boldest detail of the space you can find.</t>
        </is>
      </c>
      <c r="V31" s="13" t="inlineStr">
        <is>
          <t>Work your subtlest dragon impression into the photo. Subtle. We mean it.</t>
        </is>
      </c>
      <c r="W31" s="13" t="n"/>
      <c r="X31" s="13" t="inlineStr">
        <is>
          <t>https://komodomiami.com/</t>
        </is>
      </c>
      <c r="Y31" s="13" t="inlineStr">
        <is>
          <t>https://www.google.com/search?q=Komodo+Miami+Brickell+reviews</t>
        </is>
      </c>
      <c r="Z31" s="13" t="inlineStr">
        <is>
          <t>https://www.instagram.com/komodomiami/</t>
        </is>
      </c>
      <c r="AA31" s="13" t="inlineStr">
        <is>
          <t>info@groothospitality.com</t>
        </is>
      </c>
      <c r="AB31" s="13" t="inlineStr">
        <is>
          <t>active</t>
        </is>
      </c>
      <c r="AC31" s="13" t="inlineStr">
        <is>
          <t>verified</t>
        </is>
      </c>
      <c r="AD31" s="17" t="inlineStr">
        <is>
          <t>Official site komodomiami.com + Yelp + Apple Maps listing, checked 2026-07-07.</t>
        </is>
      </c>
      <c r="AE31" s="13" t="inlineStr">
        <is>
          <t>2026-07-07</t>
        </is>
      </c>
      <c r="AF31" s="17" t="inlineStr">
        <is>
          <t>Decision maker: Groot Hospitality CMO; Contact: info@groothospitality.com. Coordinates sourced from Apple Maps listing snippet (801 Brickell Ave).</t>
        </is>
      </c>
      <c r="AG31" s="7">
        <f>AI31</f>
        <v/>
      </c>
      <c r="AH31" s="7">
        <f>AI31</f>
        <v/>
      </c>
      <c r="AI31" s="7">
        <f>IF(COUNTIF(Quests!$D$4:$D$65,A31)&gt;0,"Yes","No")</f>
        <v/>
      </c>
      <c r="AJ31" s="19">
        <f>IF(AND(AB31="active",AC31="verified",X31&lt;&gt;"",Y31&lt;&gt;"",Z31&lt;&gt;"",W31&lt;&gt;""),"Yes","No")</f>
        <v/>
      </c>
      <c r="AK31" s="7">
        <f>IF(OR(B31="manual_review",Z31="",X31="",AC31&lt;&gt;"verified"),"Yes","No")</f>
        <v/>
      </c>
    </row>
    <row r="32" ht="79" customHeight="1">
      <c r="A32" s="6" t="inlineStr">
        <is>
          <t>joia-beach-watson-island</t>
        </is>
      </c>
      <c r="B32" s="6" t="inlineStr">
        <is>
          <t>import</t>
        </is>
      </c>
      <c r="C32" s="6" t="inlineStr">
        <is>
          <t>Joia Beach</t>
        </is>
      </c>
      <c r="D32" s="6" t="inlineStr">
        <is>
          <t>Joia Beach Restaurant and Beach Club</t>
        </is>
      </c>
      <c r="E32" s="6" t="inlineStr">
        <is>
          <t>1111 Parrot Jungle Trail</t>
        </is>
      </c>
      <c r="F32" s="6" t="inlineStr">
        <is>
          <t>Miami</t>
        </is>
      </c>
      <c r="G32" s="6" t="inlineStr">
        <is>
          <t>FL</t>
        </is>
      </c>
      <c r="H32" s="6" t="inlineStr">
        <is>
          <t>33132</t>
        </is>
      </c>
      <c r="I32" s="6" t="inlineStr">
        <is>
          <t>Watson Island</t>
        </is>
      </c>
      <c r="J32" s="8" t="n">
        <v>25.7861775</v>
      </c>
      <c r="K32" s="8" t="n">
        <v>-80.1746936</v>
      </c>
      <c r="L32" s="6" t="n"/>
      <c r="M32" s="6" t="n"/>
      <c r="N32" s="6" t="inlineStr">
        <is>
          <t>Island Detour</t>
        </is>
      </c>
      <c r="O32" s="11" t="inlineStr">
        <is>
          <t>Watson Island hides in plain sight between Downtown and South Beach — and Joia Beach is its shoreline reward. Cross the water, slow down, and catch the skyline from the sand side.</t>
        </is>
      </c>
      <c r="P32" s="6" t="inlineStr">
        <is>
          <t>outdoors</t>
        </is>
      </c>
      <c r="Q32" s="6" t="inlineStr">
        <is>
          <t>medium</t>
        </is>
      </c>
      <c r="R32" s="10" t="n">
        <v>150</v>
      </c>
      <c r="S32" s="10" t="n">
        <v>75</v>
      </c>
      <c r="T32" s="6" t="inlineStr">
        <is>
          <t>10–20 min</t>
        </is>
      </c>
      <c r="U32" s="11" t="inlineStr">
        <is>
          <t>Find your way onto Watson Island and capture the Miami skyline from Joia Beach.</t>
        </is>
      </c>
      <c r="V32" s="6" t="inlineStr">
        <is>
          <t>Shoes off for the photo. Mandatory? No. Correct? Absolutely.</t>
        </is>
      </c>
      <c r="W32" s="6" t="n"/>
      <c r="X32" s="6" t="inlineStr">
        <is>
          <t>https://joiabeachmiami.com/</t>
        </is>
      </c>
      <c r="Y32" s="6" t="inlineStr">
        <is>
          <t>https://www.google.com/search?q=Joia+Beach+Miami+reviews</t>
        </is>
      </c>
      <c r="Z32" s="6" t="inlineStr">
        <is>
          <t>https://www.instagram.com/joiabeach/</t>
        </is>
      </c>
      <c r="AA32" s="6" t="inlineStr">
        <is>
          <t>info@joiabeachmiami.com</t>
        </is>
      </c>
      <c r="AB32" s="6" t="inlineStr">
        <is>
          <t>active</t>
        </is>
      </c>
      <c r="AC32" s="6" t="inlineStr">
        <is>
          <t>verified</t>
        </is>
      </c>
      <c r="AD32" s="11" t="inlineStr">
        <is>
          <t>Official site joiabeachmiami.com + Yelp listing (1111 Parrot Jungle Trl), checked 2026-07-07.</t>
        </is>
      </c>
      <c r="AE32" s="6" t="inlineStr">
        <is>
          <t>2026-07-07</t>
        </is>
      </c>
      <c r="AF32" s="11" t="inlineStr">
        <is>
          <t>Decision maker: Marketing Lead; Contact: info@joiabeachmiami.com. No evidence of closure found; official site and Yelp/Tripadvisor listings show current operating hours. Neighborhood normalized to 'Watson Island' (input said 'Watson Island / Downtown' — Watson Island is a City of Miami-owned island, not technically Downtown, so kept as Watson Island).</t>
        </is>
      </c>
      <c r="AG32" s="7">
        <f>AI32</f>
        <v/>
      </c>
      <c r="AH32" s="7">
        <f>AI32</f>
        <v/>
      </c>
      <c r="AI32" s="7">
        <f>IF(COUNTIF(Quests!$D$4:$D$65,A32)&gt;0,"Yes","No")</f>
        <v/>
      </c>
      <c r="AJ32" s="19">
        <f>IF(AND(AB32="active",AC32="verified",X32&lt;&gt;"",Y32&lt;&gt;"",Z32&lt;&gt;"",W32&lt;&gt;""),"Yes","No")</f>
        <v/>
      </c>
      <c r="AK32" s="7">
        <f>IF(OR(B32="manual_review",Z32="",X32="",AC32&lt;&gt;"verified"),"Yes","No")</f>
        <v/>
      </c>
    </row>
    <row r="33" ht="34" customHeight="1">
      <c r="A33" s="13" t="inlineStr">
        <is>
          <t>sexy-fish-brickell</t>
        </is>
      </c>
      <c r="B33" s="13" t="inlineStr">
        <is>
          <t>import</t>
        </is>
      </c>
      <c r="C33" s="13" t="inlineStr">
        <is>
          <t>Sexy Fish Miami</t>
        </is>
      </c>
      <c r="D33" s="13" t="inlineStr">
        <is>
          <t>Sexy Fish Miami</t>
        </is>
      </c>
      <c r="E33" s="13" t="inlineStr">
        <is>
          <t>1001 S Miami Ave</t>
        </is>
      </c>
      <c r="F33" s="13" t="inlineStr">
        <is>
          <t>Miami</t>
        </is>
      </c>
      <c r="G33" s="13" t="inlineStr">
        <is>
          <t>FL</t>
        </is>
      </c>
      <c r="H33" s="13" t="inlineStr">
        <is>
          <t>33130</t>
        </is>
      </c>
      <c r="I33" s="13" t="inlineStr">
        <is>
          <t>Brickell</t>
        </is>
      </c>
      <c r="J33" s="14" t="n">
        <v>25.7643527</v>
      </c>
      <c r="K33" s="14" t="n">
        <v>-80.19305129999999</v>
      </c>
      <c r="L33" s="13" t="n"/>
      <c r="M33" s="13" t="n"/>
      <c r="N33" s="13" t="inlineStr">
        <is>
          <t>Something's Fishy</t>
        </is>
      </c>
      <c r="O33" s="17" t="inlineStr">
        <is>
          <t>With a name like Sexy Fish, subtlety was never the plan. This Brickell dining room goes all-in on glamour — come see how deep the theme swims.</t>
        </is>
      </c>
      <c r="P33" s="13" t="inlineStr">
        <is>
          <t>food</t>
        </is>
      </c>
      <c r="Q33" s="13" t="inlineStr">
        <is>
          <t>medium</t>
        </is>
      </c>
      <c r="R33" s="16" t="n">
        <v>150</v>
      </c>
      <c r="S33" s="16" t="n">
        <v>75</v>
      </c>
      <c r="T33" s="13" t="inlineStr">
        <is>
          <t>10–15 min</t>
        </is>
      </c>
      <c r="U33" s="17" t="inlineStr">
        <is>
          <t>Step into Sexy Fish on S Miami Ave and photograph the most extravagant detail you can find. There are contenders.</t>
        </is>
      </c>
      <c r="V33" s="13" t="inlineStr">
        <is>
          <t>Name your photo like a perfume ad and share the title with your table.</t>
        </is>
      </c>
      <c r="W33" s="13" t="n"/>
      <c r="X33" s="13" t="inlineStr">
        <is>
          <t>https://sexyfishmiami.com/</t>
        </is>
      </c>
      <c r="Y33" s="13" t="inlineStr">
        <is>
          <t>https://www.google.com/search?q=Sexy+Fish+Miami+reviews</t>
        </is>
      </c>
      <c r="Z33" s="13" t="inlineStr">
        <is>
          <t>https://www.instagram.com/sexyfishmiami/</t>
        </is>
      </c>
      <c r="AA33" s="13" t="inlineStr">
        <is>
          <t>info@sexyfishmiami.com</t>
        </is>
      </c>
      <c r="AB33" s="13" t="inlineStr">
        <is>
          <t>active</t>
        </is>
      </c>
      <c r="AC33" s="13" t="inlineStr">
        <is>
          <t>verified</t>
        </is>
      </c>
      <c r="AD33" s="17" t="inlineStr">
        <is>
          <t>Official site sexyfishmiami.com + Yelp + OpenTable, checked 2026-07-07.</t>
        </is>
      </c>
      <c r="AE33" s="13" t="inlineStr">
        <is>
          <t>2026-07-07</t>
        </is>
      </c>
      <c r="AF33" s="17" t="inlineStr">
        <is>
          <t>Decision maker: Operations Manager; Contact: info@sexyfishmiami.com. Confirmed via official site, Yelp, OpenTable, Resy all consistent on address and open status.</t>
        </is>
      </c>
      <c r="AG33" s="7">
        <f>AI33</f>
        <v/>
      </c>
      <c r="AH33" s="7">
        <f>AI33</f>
        <v/>
      </c>
      <c r="AI33" s="7">
        <f>IF(COUNTIF(Quests!$D$4:$D$65,A33)&gt;0,"Yes","No")</f>
        <v/>
      </c>
      <c r="AJ33" s="19">
        <f>IF(AND(AB33="active",AC33="verified",X33&lt;&gt;"",Y33&lt;&gt;"",Z33&lt;&gt;"",W33&lt;&gt;""),"Yes","No")</f>
        <v/>
      </c>
      <c r="AK33" s="7">
        <f>IF(OR(B33="manual_review",Z33="",X33="",AC33&lt;&gt;"verified"),"Yes","No")</f>
        <v/>
      </c>
    </row>
    <row r="34" ht="49" customHeight="1">
      <c r="A34" s="6" t="inlineStr">
        <is>
          <t>the-bass-south-beach</t>
        </is>
      </c>
      <c r="B34" s="6" t="inlineStr">
        <is>
          <t>import</t>
        </is>
      </c>
      <c r="C34" s="6" t="inlineStr">
        <is>
          <t>The Bass</t>
        </is>
      </c>
      <c r="D34" s="6" t="inlineStr">
        <is>
          <t>The Bass</t>
        </is>
      </c>
      <c r="E34" s="6" t="inlineStr">
        <is>
          <t>2100 Collins Ave</t>
        </is>
      </c>
      <c r="F34" s="6" t="inlineStr">
        <is>
          <t>Miami Beach</t>
        </is>
      </c>
      <c r="G34" s="6" t="inlineStr">
        <is>
          <t>FL</t>
        </is>
      </c>
      <c r="H34" s="6" t="inlineStr">
        <is>
          <t>33139</t>
        </is>
      </c>
      <c r="I34" s="6" t="inlineStr">
        <is>
          <t>South Beach</t>
        </is>
      </c>
      <c r="J34" s="8" t="n">
        <v>25.7973966</v>
      </c>
      <c r="K34" s="8" t="n">
        <v>-80.12995359999999</v>
      </c>
      <c r="L34" s="6" t="n"/>
      <c r="M34" s="6" t="n"/>
      <c r="N34" s="6" t="inlineStr">
        <is>
          <t>Bass Notes</t>
        </is>
      </c>
      <c r="O34" s="11" t="inlineStr">
        <is>
          <t>Miami Beach's contemporary art museum holds down Collins Park a couple of blocks from the sand. Ocean Drive gets the postcards; The Bass gets the ideas.</t>
        </is>
      </c>
      <c r="P34" s="6" t="inlineStr">
        <is>
          <t>art</t>
        </is>
      </c>
      <c r="Q34" s="6" t="inlineStr">
        <is>
          <t>medium</t>
        </is>
      </c>
      <c r="R34" s="10" t="n">
        <v>150</v>
      </c>
      <c r="S34" s="10" t="n">
        <v>75</v>
      </c>
      <c r="T34" s="6" t="inlineStr">
        <is>
          <t>15–20 min</t>
        </is>
      </c>
      <c r="U34" s="11" t="inlineStr">
        <is>
          <t>Explore The Bass and photograph two things: one artwork, and one detail of the building itself.</t>
        </is>
      </c>
      <c r="V34" s="6" t="inlineStr">
        <is>
          <t>Give your favorite piece a one-word title and drop it in your Community Note.</t>
        </is>
      </c>
      <c r="W34" s="6" t="n"/>
      <c r="X34" s="6" t="inlineStr">
        <is>
          <t>https://thebass.org/</t>
        </is>
      </c>
      <c r="Y34" s="6" t="inlineStr">
        <is>
          <t>https://www.google.com/search?q=The+Bass+Museum+Miami+Beach+reviews</t>
        </is>
      </c>
      <c r="Z34" s="6" t="inlineStr">
        <is>
          <t>https://www.instagram.com/thebassmoa/</t>
        </is>
      </c>
      <c r="AA34" s="6" t="inlineStr">
        <is>
          <t>info@thebass.org</t>
        </is>
      </c>
      <c r="AB34" s="6" t="inlineStr">
        <is>
          <t>active</t>
        </is>
      </c>
      <c r="AC34" s="6" t="inlineStr">
        <is>
          <t>verified</t>
        </is>
      </c>
      <c r="AD34" s="11" t="inlineStr">
        <is>
          <t>Yelp, thebass.org, and Wikipedia infobox coordinates (via search snippet), checked 2026-07-07.</t>
        </is>
      </c>
      <c r="AE34" s="6" t="inlineStr">
        <is>
          <t>2026-07-07</t>
        </is>
      </c>
      <c r="AF34" s="11" t="inlineStr">
        <is>
          <t>Decision maker: Membership Director; Contact: info@thebass.org. City corrected from generic 'Miami' to 'Miami Beach' (municipality is Miami Beach, not the City of Miami). Located in Collins Park.</t>
        </is>
      </c>
      <c r="AG34" s="7">
        <f>AI34</f>
        <v/>
      </c>
      <c r="AH34" s="7">
        <f>AI34</f>
        <v/>
      </c>
      <c r="AI34" s="7">
        <f>IF(COUNTIF(Quests!$D$4:$D$65,A34)&gt;0,"Yes","No")</f>
        <v/>
      </c>
      <c r="AJ34" s="19">
        <f>IF(AND(AB34="active",AC34="verified",X34&lt;&gt;"",Y34&lt;&gt;"",Z34&lt;&gt;"",W34&lt;&gt;""),"Yes","No")</f>
        <v/>
      </c>
      <c r="AK34" s="7">
        <f>IF(OR(B34="manual_review",Z34="",X34="",AC34&lt;&gt;"verified"),"Yes","No")</f>
        <v/>
      </c>
    </row>
    <row r="35" ht="64" customHeight="1">
      <c r="A35" s="13" t="inlineStr">
        <is>
          <t>ball-and-chain-little-havana</t>
        </is>
      </c>
      <c r="B35" s="13" t="inlineStr">
        <is>
          <t>import</t>
        </is>
      </c>
      <c r="C35" s="13" t="inlineStr">
        <is>
          <t>Ball &amp; Chain</t>
        </is>
      </c>
      <c r="D35" s="13" t="inlineStr">
        <is>
          <t>Ball &amp; Chain</t>
        </is>
      </c>
      <c r="E35" s="13" t="inlineStr">
        <is>
          <t>1513 SW 8th St</t>
        </is>
      </c>
      <c r="F35" s="13" t="inlineStr">
        <is>
          <t>Miami</t>
        </is>
      </c>
      <c r="G35" s="13" t="inlineStr">
        <is>
          <t>FL</t>
        </is>
      </c>
      <c r="H35" s="13" t="inlineStr">
        <is>
          <t>33135</t>
        </is>
      </c>
      <c r="I35" s="13" t="inlineStr">
        <is>
          <t>Little Havana</t>
        </is>
      </c>
      <c r="J35" s="14" t="n">
        <v>25.7658068</v>
      </c>
      <c r="K35" s="14" t="n">
        <v>-80.2197761</v>
      </c>
      <c r="L35" s="13" t="n"/>
      <c r="M35" s="13" t="n"/>
      <c r="N35" s="13" t="inlineStr">
        <is>
          <t>Calle Ocho After Dark</t>
        </is>
      </c>
      <c r="O35" s="17" t="inlineStr">
        <is>
          <t>On Calle Ocho, in the heart of Little Havana, Ball &amp; Chain is where the neighborhood turns the volume up. Some bars you visit; this one you feel.</t>
        </is>
      </c>
      <c r="P35" s="13" t="inlineStr">
        <is>
          <t>nightlife</t>
        </is>
      </c>
      <c r="Q35" s="13" t="inlineStr">
        <is>
          <t>medium</t>
        </is>
      </c>
      <c r="R35" s="16" t="n">
        <v>150</v>
      </c>
      <c r="S35" s="16" t="n">
        <v>75</v>
      </c>
      <c r="T35" s="13" t="inlineStr">
        <is>
          <t>15–20 min</t>
        </is>
      </c>
      <c r="U35" s="17" t="inlineStr">
        <is>
          <t>Find Ball &amp; Chain on SW 8th Street and capture the moment that feels most alive.</t>
        </is>
      </c>
      <c r="V35" s="13" t="inlineStr">
        <is>
          <t>Let your shoulders do a little salsa on the way in. Resistance is futile.</t>
        </is>
      </c>
      <c r="W35" s="13" t="n"/>
      <c r="X35" s="13" t="inlineStr">
        <is>
          <t>https://ballandchainmiami.com/</t>
        </is>
      </c>
      <c r="Y35" s="13" t="inlineStr">
        <is>
          <t>https://www.google.com/search?q=Ball+and+Chain+Miami+reviews</t>
        </is>
      </c>
      <c r="Z35" s="13" t="inlineStr">
        <is>
          <t>https://www.instagram.com/ballandchainmia/</t>
        </is>
      </c>
      <c r="AA35" s="13" t="inlineStr">
        <is>
          <t>info@ballandchainmiami.com</t>
        </is>
      </c>
      <c r="AB35" s="13" t="inlineStr">
        <is>
          <t>active</t>
        </is>
      </c>
      <c r="AC35" s="13" t="inlineStr">
        <is>
          <t>verified</t>
        </is>
      </c>
      <c r="AD35" s="17" t="inlineStr">
        <is>
          <t>Official site ballandchainmiami.com + Yelp + Apple Maps, checked 2026-07-07.</t>
        </is>
      </c>
      <c r="AE35" s="13" t="inlineStr">
        <is>
          <t>2026-07-07</t>
        </is>
      </c>
      <c r="AF35" s="17" t="inlineStr">
        <is>
          <t>Decision maker: Proprietor; Contact: info@ballandchainmiami.com. Neighborhood normalized to 'Little Havana' (input said 'Little Havana / Edge' — 'Edge' not a recognized standard Miami neighborhood name for this address). Coordinates from Apple Maps listing snippet.</t>
        </is>
      </c>
      <c r="AG35" s="7">
        <f>AI35</f>
        <v/>
      </c>
      <c r="AH35" s="7">
        <f>AI35</f>
        <v/>
      </c>
      <c r="AI35" s="7">
        <f>IF(COUNTIF(Quests!$D$4:$D$65,A35)&gt;0,"Yes","No")</f>
        <v/>
      </c>
      <c r="AJ35" s="19">
        <f>IF(AND(AB35="active",AC35="verified",X35&lt;&gt;"",Y35&lt;&gt;"",Z35&lt;&gt;"",W35&lt;&gt;""),"Yes","No")</f>
        <v/>
      </c>
      <c r="AK35" s="7">
        <f>IF(OR(B35="manual_review",Z35="",X35="",AC35&lt;&gt;"verified"),"Yes","No")</f>
        <v/>
      </c>
    </row>
    <row r="36" ht="49" customHeight="1">
      <c r="A36" s="6" t="inlineStr">
        <is>
          <t>rubell-museum-allapattah</t>
        </is>
      </c>
      <c r="B36" s="6" t="inlineStr">
        <is>
          <t>import</t>
        </is>
      </c>
      <c r="C36" s="6" t="inlineStr">
        <is>
          <t>Rubell Museum</t>
        </is>
      </c>
      <c r="D36" s="6" t="inlineStr">
        <is>
          <t>Rubell Museum</t>
        </is>
      </c>
      <c r="E36" s="6" t="inlineStr">
        <is>
          <t>1100 NW 23rd St</t>
        </is>
      </c>
      <c r="F36" s="6" t="inlineStr">
        <is>
          <t>Miami</t>
        </is>
      </c>
      <c r="G36" s="6" t="inlineStr">
        <is>
          <t>FL</t>
        </is>
      </c>
      <c r="H36" s="6" t="inlineStr">
        <is>
          <t>33127</t>
        </is>
      </c>
      <c r="I36" s="6" t="inlineStr">
        <is>
          <t>Allapattah</t>
        </is>
      </c>
      <c r="J36" s="8" t="n">
        <v>25.7987088</v>
      </c>
      <c r="K36" s="8" t="n">
        <v>-80.214203</v>
      </c>
      <c r="L36" s="6" t="n"/>
      <c r="M36" s="6" t="n"/>
      <c r="N36" s="6" t="inlineStr">
        <is>
          <t>The Collectors' Warehouse</t>
        </is>
      </c>
      <c r="O36" s="11" t="inlineStr">
        <is>
          <t>One family's contemporary art collection grew until it needed its own museum in Allapattah — right across the street from Superblue. Wander it like the world's most serious garage sale.</t>
        </is>
      </c>
      <c r="P36" s="6" t="inlineStr">
        <is>
          <t>art</t>
        </is>
      </c>
      <c r="Q36" s="6" t="inlineStr">
        <is>
          <t>medium</t>
        </is>
      </c>
      <c r="R36" s="10" t="n">
        <v>150</v>
      </c>
      <c r="S36" s="10" t="n">
        <v>75</v>
      </c>
      <c r="T36" s="6" t="inlineStr">
        <is>
          <t>15–20 min</t>
        </is>
      </c>
      <c r="U36" s="11" t="inlineStr">
        <is>
          <t>Explore the Rubell and find the artwork you'd smuggle home if no one were watching. Photograph it legally instead.</t>
        </is>
      </c>
      <c r="V36" s="6" t="inlineStr">
        <is>
          <t>Estimate its price out loud. Then add three zeros.</t>
        </is>
      </c>
      <c r="W36" s="6" t="n"/>
      <c r="X36" s="6" t="inlineStr">
        <is>
          <t>https://rubellmuseum.org/</t>
        </is>
      </c>
      <c r="Y36" s="6" t="inlineStr">
        <is>
          <t>https://www.google.com/search?q=Rubell+Museum+Miami+reviews</t>
        </is>
      </c>
      <c r="Z36" s="6" t="inlineStr">
        <is>
          <t>https://www.instagram.com/rubellmuseum/</t>
        </is>
      </c>
      <c r="AA36" s="6" t="inlineStr">
        <is>
          <t>info@rubellmuseum.org</t>
        </is>
      </c>
      <c r="AB36" s="6" t="inlineStr">
        <is>
          <t>active</t>
        </is>
      </c>
      <c r="AC36" s="6" t="inlineStr">
        <is>
          <t>verified</t>
        </is>
      </c>
      <c r="AD36" s="11" t="inlineStr">
        <is>
          <t>Official site rubellmuseum.org + Yelp + Apple Maps, checked 2026-07-07.</t>
        </is>
      </c>
      <c r="AE36" s="6" t="inlineStr">
        <is>
          <t>2026-07-07</t>
        </is>
      </c>
      <c r="AF36" s="11" t="inlineStr">
        <is>
          <t>Decision maker: Curator; Contact: info@rubellmuseum.org. Neighborhood normalized to 'Allapattah' (input said 'Allapattah / Edge'). Coordinates from Apple Maps listing snippet matching official address.</t>
        </is>
      </c>
      <c r="AG36" s="7">
        <f>AI36</f>
        <v/>
      </c>
      <c r="AH36" s="7">
        <f>AI36</f>
        <v/>
      </c>
      <c r="AI36" s="7">
        <f>IF(COUNTIF(Quests!$D$4:$D$65,A36)&gt;0,"Yes","No")</f>
        <v/>
      </c>
      <c r="AJ36" s="19">
        <f>IF(AND(AB36="active",AC36="verified",X36&lt;&gt;"",Y36&lt;&gt;"",Z36&lt;&gt;"",W36&lt;&gt;""),"Yes","No")</f>
        <v/>
      </c>
      <c r="AK36" s="7">
        <f>IF(OR(B36="manual_review",Z36="",X36="",AC36&lt;&gt;"verified"),"Yes","No")</f>
        <v/>
      </c>
    </row>
    <row r="37" ht="124" customHeight="1">
      <c r="A37" s="13" t="inlineStr">
        <is>
          <t>brickell-city-centre</t>
        </is>
      </c>
      <c r="B37" s="13" t="inlineStr">
        <is>
          <t>import</t>
        </is>
      </c>
      <c r="C37" s="13" t="inlineStr">
        <is>
          <t>Brickell City Centre</t>
        </is>
      </c>
      <c r="D37" s="13" t="inlineStr">
        <is>
          <t>Brickell City Centre</t>
        </is>
      </c>
      <c r="E37" s="13" t="inlineStr">
        <is>
          <t>701 S Miami Ave</t>
        </is>
      </c>
      <c r="F37" s="13" t="inlineStr">
        <is>
          <t>Miami</t>
        </is>
      </c>
      <c r="G37" s="13" t="inlineStr">
        <is>
          <t>FL</t>
        </is>
      </c>
      <c r="H37" s="13" t="inlineStr">
        <is>
          <t>33131</t>
        </is>
      </c>
      <c r="I37" s="13" t="inlineStr">
        <is>
          <t>Brickell</t>
        </is>
      </c>
      <c r="J37" s="14" t="n">
        <v>25.7676777</v>
      </c>
      <c r="K37" s="14" t="n">
        <v>-80.1930011</v>
      </c>
      <c r="L37" s="13" t="n"/>
      <c r="M37" s="13" t="n"/>
      <c r="N37" s="13" t="inlineStr">
        <is>
          <t>The Vertical City</t>
        </is>
      </c>
      <c r="O37" s="17" t="inlineStr">
        <is>
          <t>A shopping city stacked into the middle of Brickell, and still growing — its busiest month on record was as recent as April 2025. The stores are the excuse; the architecture is the reason.</t>
        </is>
      </c>
      <c r="P37" s="13" t="inlineStr">
        <is>
          <t>shopping</t>
        </is>
      </c>
      <c r="Q37" s="13" t="inlineStr">
        <is>
          <t>easy</t>
        </is>
      </c>
      <c r="R37" s="16" t="n">
        <v>50</v>
      </c>
      <c r="S37" s="16" t="n">
        <v>25</v>
      </c>
      <c r="T37" s="13" t="inlineStr">
        <is>
          <t>10–15 min</t>
        </is>
      </c>
      <c r="U37" s="17" t="inlineStr">
        <is>
          <t>Explore Brickell City Centre's levels and photograph the view where the architecture steals the show from the shops.</t>
        </is>
      </c>
      <c r="V37" s="13" t="inlineStr">
        <is>
          <t>Window-shop one store wildly outside your budget with complete confidence.</t>
        </is>
      </c>
      <c r="W37" s="13" t="n"/>
      <c r="X37" s="13" t="inlineStr">
        <is>
          <t>https://brickellcitycentre.com/</t>
        </is>
      </c>
      <c r="Y37" s="13" t="inlineStr">
        <is>
          <t>https://www.google.com/search?q=Brickell+City+Centre+Miami+reviews</t>
        </is>
      </c>
      <c r="Z37" s="13" t="inlineStr">
        <is>
          <t>https://www.instagram.com/brickellcitycentre/</t>
        </is>
      </c>
      <c r="AA37" s="13" t="inlineStr">
        <is>
          <t>info@brickellcitycentre.com</t>
        </is>
      </c>
      <c r="AB37" s="13" t="inlineStr">
        <is>
          <t>active</t>
        </is>
      </c>
      <c r="AC37" s="13" t="inlineStr">
        <is>
          <t>verified</t>
        </is>
      </c>
      <c r="AD37" s="17" t="inlineStr">
        <is>
          <t>Simon.com official mall page, Yelp listing, Miami New Times/retail trade press (Chain Store Age, RLI), checked 2026-07-07</t>
        </is>
      </c>
      <c r="AE37" s="13" t="inlineStr">
        <is>
          <t>2026-07-07</t>
        </is>
      </c>
      <c r="AF37" s="17" t="inlineStr">
        <is>
          <t>Decision maker: Marketing Director; Contact: info@brickellcitycentre.com. Mall is a Simon Property Group asset (operated with Swire); active and expanding retail (Aritzia, Alo Yoga, Dior Beauty opened 2025-2026), April 2025 was highest footfall month on record. Note: the planned 'One Brickell City Centre' supertall office tower was cancelled/listed for sale in 2025 - this affects a future expansion parcel, not the existing operating mall. No reliable primary-source coordinates found (Wikipedia/official site fetch blocked in this session); address confirmed via multiple listings (Yelp, Simon.com).</t>
        </is>
      </c>
      <c r="AG37" s="7">
        <f>AI37</f>
        <v/>
      </c>
      <c r="AH37" s="7">
        <f>AI37</f>
        <v/>
      </c>
      <c r="AI37" s="7">
        <f>IF(COUNTIF(Quests!$D$4:$D$65,A37)&gt;0,"Yes","No")</f>
        <v/>
      </c>
      <c r="AJ37" s="19">
        <f>IF(AND(AB37="active",AC37="verified",X37&lt;&gt;"",Y37&lt;&gt;"",Z37&lt;&gt;"",W37&lt;&gt;""),"Yes","No")</f>
        <v/>
      </c>
      <c r="AK37" s="7">
        <f>IF(OR(B37="manual_review",Z37="",X37="",AC37&lt;&gt;"verified"),"Yes","No")</f>
        <v/>
      </c>
    </row>
    <row r="38" ht="79" customHeight="1">
      <c r="A38" s="6" t="inlineStr">
        <is>
          <t>bayside-marketplace</t>
        </is>
      </c>
      <c r="B38" s="6" t="inlineStr">
        <is>
          <t>import</t>
        </is>
      </c>
      <c r="C38" s="6" t="inlineStr">
        <is>
          <t>Bayside Marketplace</t>
        </is>
      </c>
      <c r="D38" s="6" t="inlineStr">
        <is>
          <t>Bayside Marketplace</t>
        </is>
      </c>
      <c r="E38" s="6" t="inlineStr">
        <is>
          <t>401 Biscayne Blvd</t>
        </is>
      </c>
      <c r="F38" s="6" t="inlineStr">
        <is>
          <t>Miami</t>
        </is>
      </c>
      <c r="G38" s="6" t="inlineStr">
        <is>
          <t>FL</t>
        </is>
      </c>
      <c r="H38" s="6" t="inlineStr">
        <is>
          <t>33132</t>
        </is>
      </c>
      <c r="I38" s="6" t="inlineStr">
        <is>
          <t>Downtown Miami</t>
        </is>
      </c>
      <c r="J38" s="8" t="n">
        <v>25.7784792</v>
      </c>
      <c r="K38" s="8" t="n">
        <v>-80.1867682</v>
      </c>
      <c r="L38" s="6" t="n"/>
      <c r="M38" s="6" t="n"/>
      <c r="N38" s="6" t="inlineStr">
        <is>
          <t>Where Downtown Meets the Bay</t>
        </is>
      </c>
      <c r="O38" s="11" t="inlineStr">
        <is>
          <t>Downtown's waterfront marketplace, where the shopping ends at the edge of Biscayne Bay. Skip the mall part first — go straight to the water and work backwards.</t>
        </is>
      </c>
      <c r="P38" s="6" t="inlineStr">
        <is>
          <t>shopping</t>
        </is>
      </c>
      <c r="Q38" s="6" t="inlineStr">
        <is>
          <t>easy</t>
        </is>
      </c>
      <c r="R38" s="10" t="n">
        <v>50</v>
      </c>
      <c r="S38" s="10" t="n">
        <v>25</v>
      </c>
      <c r="T38" s="6" t="inlineStr">
        <is>
          <t>10–15 min</t>
        </is>
      </c>
      <c r="U38" s="11" t="inlineStr">
        <is>
          <t>Find the spot where Bayside meets the bay and capture the water, boats and skyline in one frame.</t>
        </is>
      </c>
      <c r="V38" s="6" t="inlineStr">
        <is>
          <t>Wave at a passing boat. If they wave back, it counts double.</t>
        </is>
      </c>
      <c r="W38" s="6" t="n"/>
      <c r="X38" s="6" t="inlineStr">
        <is>
          <t>https://baysidemarketplace.com/</t>
        </is>
      </c>
      <c r="Y38" s="6" t="inlineStr">
        <is>
          <t>https://www.google.com/search?q=Bayside+Marketplace+Miami+reviews</t>
        </is>
      </c>
      <c r="Z38" s="6" t="inlineStr">
        <is>
          <t>https://www.instagram.com/baysidemarketplace/</t>
        </is>
      </c>
      <c r="AA38" s="6" t="inlineStr">
        <is>
          <t>info@baysidemarketplace.com</t>
        </is>
      </c>
      <c r="AB38" s="6" t="inlineStr">
        <is>
          <t>active</t>
        </is>
      </c>
      <c r="AC38" s="6" t="inlineStr">
        <is>
          <t>verified</t>
        </is>
      </c>
      <c r="AD38" s="11" t="inlineStr">
        <is>
          <t>Official site baysidemarketplace.com, Yelp, Local10 News (Hard Rock Cafe closure story, June 2026), Apple Maps coordinate data, checked 2026-07-07</t>
        </is>
      </c>
      <c r="AE38" s="6" t="inlineStr">
        <is>
          <t>2026-07-07</t>
        </is>
      </c>
      <c r="AF38" s="11" t="inlineStr">
        <is>
          <t>Decision maker: General Manager; Contact: info@baysidemarketplace.com. Waterfront shopping/entertainment marketplace, managed by Ashkenazy Acquisition Corp / GGP (Brookfield). Active as of July 2026. Note: long-time tenant Hard Rock Cafe (opened 1993) announced it will permanently close Aug 19, 2026 due to lease expiration - this is a tenant closure, not a closure of Bayside Marketplace itself.</t>
        </is>
      </c>
      <c r="AG38" s="7">
        <f>AI38</f>
        <v/>
      </c>
      <c r="AH38" s="7">
        <f>AI38</f>
        <v/>
      </c>
      <c r="AI38" s="7">
        <f>IF(COUNTIF(Quests!$D$4:$D$65,A38)&gt;0,"Yes","No")</f>
        <v/>
      </c>
      <c r="AJ38" s="19">
        <f>IF(AND(AB38="active",AC38="verified",X38&lt;&gt;"",Y38&lt;&gt;"",Z38&lt;&gt;"",W38&lt;&gt;""),"Yes","No")</f>
        <v/>
      </c>
      <c r="AK38" s="7">
        <f>IF(OR(B38="manual_review",Z38="",X38="",AC38&lt;&gt;"verified"),"Yes","No")</f>
        <v/>
      </c>
    </row>
    <row r="39" ht="64" customHeight="1">
      <c r="A39" s="13" t="inlineStr">
        <is>
          <t>1800-lucky-wynwood</t>
        </is>
      </c>
      <c r="B39" s="13" t="inlineStr">
        <is>
          <t>import</t>
        </is>
      </c>
      <c r="C39" s="13" t="inlineStr">
        <is>
          <t>1-800-Lucky</t>
        </is>
      </c>
      <c r="D39" s="13" t="inlineStr">
        <is>
          <t>1-800-Lucky</t>
        </is>
      </c>
      <c r="E39" s="13" t="inlineStr">
        <is>
          <t>143 NW 23rd St</t>
        </is>
      </c>
      <c r="F39" s="13" t="inlineStr">
        <is>
          <t>Miami</t>
        </is>
      </c>
      <c r="G39" s="13" t="inlineStr">
        <is>
          <t>FL</t>
        </is>
      </c>
      <c r="H39" s="13" t="inlineStr">
        <is>
          <t>33127</t>
        </is>
      </c>
      <c r="I39" s="13" t="inlineStr">
        <is>
          <t>Wynwood</t>
        </is>
      </c>
      <c r="J39" s="14" t="n">
        <v>25.7993233</v>
      </c>
      <c r="K39" s="14" t="n">
        <v>-80.1979686</v>
      </c>
      <c r="L39" s="13" t="n"/>
      <c r="M39" s="13" t="n"/>
      <c r="N39" s="13" t="inlineStr">
        <is>
          <t>Six Ways Lucky</t>
        </is>
      </c>
      <c r="O39" s="17" t="inlineStr">
        <is>
          <t>Miami's first Asian food hall: 10,000 square feet in Wynwood holding six kitchens under one roof. One address, six chances your night improves.</t>
        </is>
      </c>
      <c r="P39" s="13" t="inlineStr">
        <is>
          <t>food</t>
        </is>
      </c>
      <c r="Q39" s="13" t="inlineStr">
        <is>
          <t>medium</t>
        </is>
      </c>
      <c r="R39" s="16" t="n">
        <v>150</v>
      </c>
      <c r="S39" s="16" t="n">
        <v>75</v>
      </c>
      <c r="T39" s="13" t="inlineStr">
        <is>
          <t>10–15 min</t>
        </is>
      </c>
      <c r="U39" s="17" t="inlineStr">
        <is>
          <t>Walk the full hall and find all six food concepts. Photograph the counter or dish you'd try first.</t>
        </is>
      </c>
      <c r="V39" s="13" t="inlineStr">
        <is>
          <t>Spin once on your heel and let fate point you to a counter.</t>
        </is>
      </c>
      <c r="W39" s="13" t="n"/>
      <c r="X39" s="13" t="inlineStr">
        <is>
          <t>https://1800lucky.com/</t>
        </is>
      </c>
      <c r="Y39" s="13" t="inlineStr">
        <is>
          <t>https://www.google.com/search?q=1-800-Lucky+Wynwood+Miami+reviews</t>
        </is>
      </c>
      <c r="Z39" s="13" t="inlineStr">
        <is>
          <t>https://www.instagram.com/1800lucky/</t>
        </is>
      </c>
      <c r="AA39" s="13" t="inlineStr">
        <is>
          <t>info@1-800-lucky.com</t>
        </is>
      </c>
      <c r="AB39" s="13" t="inlineStr">
        <is>
          <t>active</t>
        </is>
      </c>
      <c r="AC39" s="13" t="inlineStr">
        <is>
          <t>verified</t>
        </is>
      </c>
      <c r="AD39" s="17" t="inlineStr">
        <is>
          <t>1800lucky.com official site, Yelp (updated July 2026), Wynwood BID business directory, checked 2026-07-07</t>
        </is>
      </c>
      <c r="AE39" s="13" t="inlineStr">
        <is>
          <t>2026-07-07</t>
        </is>
      </c>
      <c r="AF39" s="17" t="inlineStr">
        <is>
          <t>Decision maker: Partner / Operator; Contact: info@1-800-lucky.com. Miami's first Asian food hall, 10,000 sq ft, 6 restaurant concepts. Active as of July 2026 (Yelp reviews updated July 2026, celebrated 8-year anniversary). No evidence of closure found.</t>
        </is>
      </c>
      <c r="AG39" s="7">
        <f>AI39</f>
        <v/>
      </c>
      <c r="AH39" s="7">
        <f>AI39</f>
        <v/>
      </c>
      <c r="AI39" s="7">
        <f>IF(COUNTIF(Quests!$D$4:$D$65,A39)&gt;0,"Yes","No")</f>
        <v/>
      </c>
      <c r="AJ39" s="19">
        <f>IF(AND(AB39="active",AC39="verified",X39&lt;&gt;"",Y39&lt;&gt;"",Z39&lt;&gt;"",W39&lt;&gt;""),"Yes","No")</f>
        <v/>
      </c>
      <c r="AK39" s="7">
        <f>IF(OR(B39="manual_review",Z39="",X39="",AC39&lt;&gt;"verified"),"Yes","No")</f>
        <v/>
      </c>
    </row>
    <row r="40" ht="109" customHeight="1">
      <c r="A40" s="6" t="inlineStr">
        <is>
          <t>lummus-park-south-beach</t>
        </is>
      </c>
      <c r="B40" s="6" t="inlineStr">
        <is>
          <t>import</t>
        </is>
      </c>
      <c r="C40" s="6" t="inlineStr">
        <is>
          <t>Lummus Park</t>
        </is>
      </c>
      <c r="D40" s="6" t="inlineStr">
        <is>
          <t>Lummus Park</t>
        </is>
      </c>
      <c r="E40" s="6" t="inlineStr">
        <is>
          <t>Ocean Dr (between 5th St and 15th St)</t>
        </is>
      </c>
      <c r="F40" s="6" t="inlineStr">
        <is>
          <t>Miami Beach</t>
        </is>
      </c>
      <c r="G40" s="6" t="inlineStr">
        <is>
          <t>FL</t>
        </is>
      </c>
      <c r="H40" s="6" t="inlineStr">
        <is>
          <t>33139</t>
        </is>
      </c>
      <c r="I40" s="6" t="inlineStr">
        <is>
          <t>South Beach</t>
        </is>
      </c>
      <c r="J40" s="8" t="n">
        <v>25.7806133</v>
      </c>
      <c r="K40" s="8" t="n">
        <v>-80.12989330000001</v>
      </c>
      <c r="L40" s="6" t="n"/>
      <c r="M40" s="6" t="n"/>
      <c r="N40" s="6" t="inlineStr">
        <is>
          <t>Postcard Row</t>
        </is>
      </c>
      <c r="O40" s="11" t="inlineStr">
        <is>
          <t>Seventy-four acres of oceanfront park running along Ocean Drive through the Art Deco Historic District. Palms on one side, pastel architecture on the other — the most photographed stretch of Miami Beach, waiting for your version.</t>
        </is>
      </c>
      <c r="P40" s="6" t="inlineStr">
        <is>
          <t>outdoors</t>
        </is>
      </c>
      <c r="Q40" s="6" t="inlineStr">
        <is>
          <t>easy</t>
        </is>
      </c>
      <c r="R40" s="10" t="n">
        <v>50</v>
      </c>
      <c r="S40" s="10" t="n">
        <v>25</v>
      </c>
      <c r="T40" s="6" t="inlineStr">
        <is>
          <t>10–15 min</t>
        </is>
      </c>
      <c r="U40" s="11" t="inlineStr">
        <is>
          <t>Walk the stretch where Lummus Park's palms meet the Art Deco skyline and capture the most Miami photo possible.</t>
        </is>
      </c>
      <c r="V40" s="6" t="inlineStr">
        <is>
          <t>Add a flamingo pose. One leg. You know the one.</t>
        </is>
      </c>
      <c r="W40" s="6" t="n"/>
      <c r="X40" s="6" t="inlineStr">
        <is>
          <t>https://www.miamibeachfl.gov/city-hall/parks-and-recreation/parks-facilities-directory/lummus-park/</t>
        </is>
      </c>
      <c r="Y40" s="6" t="inlineStr">
        <is>
          <t>https://www.google.com/search?q=Lummus+Park+Miami+Beach+reviews</t>
        </is>
      </c>
      <c r="Z40" s="6" t="inlineStr">
        <is>
          <t>https://www.instagram.com/cityofmiamibeach/</t>
        </is>
      </c>
      <c r="AA40" s="6" t="inlineStr">
        <is>
          <t>parks@miamibeachfl.gov</t>
        </is>
      </c>
      <c r="AB40" s="6" t="inlineStr">
        <is>
          <t>active</t>
        </is>
      </c>
      <c r="AC40" s="6" t="inlineStr">
        <is>
          <t>verified</t>
        </is>
      </c>
      <c r="AD40" s="11" t="inlineStr">
        <is>
          <t>City of Miami Beach official parks directory (miamibeachfl.gov), Wikipedia summary via search, checked 2026-07-07</t>
        </is>
      </c>
      <c r="AE40" s="6" t="inlineStr">
        <is>
          <t>2026-07-07</t>
        </is>
      </c>
      <c r="AF40" s="11" t="inlineStr">
        <is>
          <t>Decision maker: City Parks Liaison; Contact: parks@miamibeachfl.gov. Public 74-acre oceanfront park in the Art Deco Historic District, managed by City of Miami Beach Parks &amp; Recreation - no single commercial operator, as expected for this tier. Note: there is also a separate, smaller 'Lummus Park' near Downtown Miami (Lummus Park Historic District) - do not confuse the two; this record is for the Miami Beach oceanfront park matching the input's 'South Beach' neighborhood and miamibeachfl.gov website. No reliable primary-source coordinates found in this session.</t>
        </is>
      </c>
      <c r="AG40" s="7">
        <f>AI40</f>
        <v/>
      </c>
      <c r="AH40" s="7">
        <f>AI40</f>
        <v/>
      </c>
      <c r="AI40" s="7">
        <f>IF(COUNTIF(Quests!$D$4:$D$65,A40)&gt;0,"Yes","No")</f>
        <v/>
      </c>
      <c r="AJ40" s="19">
        <f>IF(AND(AB40="active",AC40="verified",X40&lt;&gt;"",Y40&lt;&gt;"",Z40&lt;&gt;"",W40&lt;&gt;""),"Yes","No")</f>
        <v/>
      </c>
      <c r="AK40" s="7">
        <f>IF(OR(B40="manual_review",Z40="",X40="",AC40&lt;&gt;"verified"),"Yes","No")</f>
        <v/>
      </c>
    </row>
    <row r="41" ht="109" customHeight="1">
      <c r="A41" s="13" t="inlineStr">
        <is>
          <t>miami-design-district</t>
        </is>
      </c>
      <c r="B41" s="13" t="inlineStr">
        <is>
          <t>import</t>
        </is>
      </c>
      <c r="C41" s="13" t="inlineStr">
        <is>
          <t>Miami Design District</t>
        </is>
      </c>
      <c r="D41" s="13" t="inlineStr">
        <is>
          <t>Miami Design District</t>
        </is>
      </c>
      <c r="E41" s="13" t="inlineStr">
        <is>
          <t>140 NE 39th St</t>
        </is>
      </c>
      <c r="F41" s="13" t="inlineStr">
        <is>
          <t>Miami</t>
        </is>
      </c>
      <c r="G41" s="13" t="inlineStr">
        <is>
          <t>FL</t>
        </is>
      </c>
      <c r="H41" s="13" t="inlineStr">
        <is>
          <t>33137</t>
        </is>
      </c>
      <c r="I41" s="13" t="inlineStr">
        <is>
          <t>Design District</t>
        </is>
      </c>
      <c r="J41" s="14" t="n">
        <v>25.8123753</v>
      </c>
      <c r="K41" s="14" t="n">
        <v>-80.19241150000001</v>
      </c>
      <c r="L41" s="13" t="n"/>
      <c r="M41" s="13" t="n"/>
      <c r="N41" s="13" t="inlineStr">
        <is>
          <t>The Palm Court Puzzle</t>
        </is>
      </c>
      <c r="O41" s="17" t="inlineStr">
        <is>
          <t>A whole neighborhood curated like a gallery — luxury storefronts, public art and architecture competing politely for your attention. Somewhere in the middle hides Palm Court, the district's gathering spot.</t>
        </is>
      </c>
      <c r="P41" s="13" t="inlineStr">
        <is>
          <t>shopping</t>
        </is>
      </c>
      <c r="Q41" s="13" t="inlineStr">
        <is>
          <t>medium</t>
        </is>
      </c>
      <c r="R41" s="16" t="n">
        <v>150</v>
      </c>
      <c r="S41" s="16" t="n">
        <v>75</v>
      </c>
      <c r="T41" s="13" t="inlineStr">
        <is>
          <t>15–20 min</t>
        </is>
      </c>
      <c r="U41" s="17" t="inlineStr">
        <is>
          <t>Explore the district's public spaces until you find Palm Court. Photograph the storefront or installation that stopped you along the way.</t>
        </is>
      </c>
      <c r="V41" s="13" t="inlineStr">
        <is>
          <t>Pick the display window that best matches your personality. Defend your choice.</t>
        </is>
      </c>
      <c r="W41" s="13" t="n"/>
      <c r="X41" s="13" t="inlineStr">
        <is>
          <t>https://www.miamidesigndistrict.com/</t>
        </is>
      </c>
      <c r="Y41" s="13" t="inlineStr">
        <is>
          <t>https://www.google.com/search?q=Miami+Design+District+reviews</t>
        </is>
      </c>
      <c r="Z41" s="13" t="inlineStr">
        <is>
          <t>https://www.instagram.com/miamidesigndistrict/</t>
        </is>
      </c>
      <c r="AA41" s="13" t="inlineStr">
        <is>
          <t>info@miamidesigndistrict.net</t>
        </is>
      </c>
      <c r="AB41" s="13" t="inlineStr">
        <is>
          <t>active</t>
        </is>
      </c>
      <c r="AC41" s="13" t="inlineStr">
        <is>
          <t>verified</t>
        </is>
      </c>
      <c r="AD41" s="17" t="inlineStr">
        <is>
          <t>miamidesigndistrict.com official site, Apple Maps place link (embedded coordinate), Yelp, Wikipedia summary via search, checked 2026-07-07</t>
        </is>
      </c>
      <c r="AE41" s="13" t="inlineStr">
        <is>
          <t>2026-07-07</t>
        </is>
      </c>
      <c r="AF41" s="17" t="inlineStr">
        <is>
          <t>Decision maker: DACRA Marketing Head; Contact: info@miamidesigndistrict.net. This is a neighborhood/shopping district (luxury retail, galleries, restaurants) developed/managed largely by DACRA and partners, not a single 'plaza' business - public gathering spaces (e.g. Palm Court) exist within it. Input domain 'miamidesigndistrict.net' also resolves to the same organization; the more consistently live site found was miamidesigndistrict.com. Coordinates from an Apple Maps place link with an embedded coordinate parameter.</t>
        </is>
      </c>
      <c r="AG41" s="7">
        <f>AI41</f>
        <v/>
      </c>
      <c r="AH41" s="7">
        <f>AI41</f>
        <v/>
      </c>
      <c r="AI41" s="7">
        <f>IF(COUNTIF(Quests!$D$4:$D$65,A41)&gt;0,"Yes","No")</f>
        <v/>
      </c>
      <c r="AJ41" s="19">
        <f>IF(AND(AB41="active",AC41="verified",X41&lt;&gt;"",Y41&lt;&gt;"",Z41&lt;&gt;"",W41&lt;&gt;""),"Yes","No")</f>
        <v/>
      </c>
      <c r="AK41" s="7">
        <f>IF(OR(B41="manual_review",Z41="",X41="",AC41&lt;&gt;"verified"),"Yes","No")</f>
        <v/>
      </c>
    </row>
    <row r="42" ht="109" customHeight="1">
      <c r="A42" s="6" t="inlineStr">
        <is>
          <t>miami-worldcenter</t>
        </is>
      </c>
      <c r="B42" s="6" t="inlineStr">
        <is>
          <t>import</t>
        </is>
      </c>
      <c r="C42" s="6" t="inlineStr">
        <is>
          <t>Miami Worldcenter</t>
        </is>
      </c>
      <c r="D42" s="6" t="inlineStr">
        <is>
          <t>Miami Worldcenter</t>
        </is>
      </c>
      <c r="E42" s="6" t="inlineStr">
        <is>
          <t>851 NE 1st Ave</t>
        </is>
      </c>
      <c r="F42" s="6" t="inlineStr">
        <is>
          <t>Miami</t>
        </is>
      </c>
      <c r="G42" s="6" t="inlineStr">
        <is>
          <t>FL</t>
        </is>
      </c>
      <c r="H42" s="6" t="inlineStr">
        <is>
          <t>33132</t>
        </is>
      </c>
      <c r="I42" s="6" t="inlineStr">
        <is>
          <t>Park West / Downtown Miami</t>
        </is>
      </c>
      <c r="J42" s="8" t="n">
        <v>25.782431</v>
      </c>
      <c r="K42" s="8" t="n">
        <v>-80.19185400000001</v>
      </c>
      <c r="L42" s="6" t="n"/>
      <c r="M42" s="6" t="n"/>
      <c r="N42" s="6" t="inlineStr">
        <is>
          <t>City Under Construction</t>
        </is>
      </c>
      <c r="O42" s="11" t="inlineStr">
        <is>
          <t>Ten blocks of Park West being rebuilt into a brand-new district — towers, promenades and street-level retail rising in real time. Walk it now and you'll be able to say you saw it happen.</t>
        </is>
      </c>
      <c r="P42" s="6" t="inlineStr">
        <is>
          <t>shopping</t>
        </is>
      </c>
      <c r="Q42" s="6" t="inlineStr">
        <is>
          <t>easy</t>
        </is>
      </c>
      <c r="R42" s="10" t="n">
        <v>50</v>
      </c>
      <c r="S42" s="10" t="n">
        <v>25</v>
      </c>
      <c r="T42" s="6" t="inlineStr">
        <is>
          <t>10–15 min</t>
        </is>
      </c>
      <c r="U42" s="11" t="inlineStr">
        <is>
          <t>Walk Miami Worldcenter's new blocks and photograph old Miami and new Miami in a single frame.</t>
        </is>
      </c>
      <c r="V42" s="6" t="inlineStr">
        <is>
          <t>Record a five-second voice memo predicting what this block looks like in ten years.</t>
        </is>
      </c>
      <c r="W42" s="6" t="n"/>
      <c r="X42" s="6" t="inlineStr">
        <is>
          <t>https://miamiworldcenter.com/</t>
        </is>
      </c>
      <c r="Y42" s="6" t="inlineStr">
        <is>
          <t>https://www.google.com/search?q=Miami+Worldcenter+reviews</t>
        </is>
      </c>
      <c r="Z42" s="6" t="inlineStr">
        <is>
          <t>https://www.instagram.com/miamiworldcenter/</t>
        </is>
      </c>
      <c r="AA42" s="6" t="inlineStr">
        <is>
          <t>info@miamiworldcenter.com</t>
        </is>
      </c>
      <c r="AB42" s="6" t="inlineStr">
        <is>
          <t>active</t>
        </is>
      </c>
      <c r="AC42" s="6" t="inlineStr">
        <is>
          <t>verified</t>
        </is>
      </c>
      <c r="AD42" s="11" t="inlineStr">
        <is>
          <t>miamiworldcenter.com official site (Visit/Directions page), Wikipedia summary via search, Apple Maps place link (embedded coordinate), checked 2026-07-07</t>
        </is>
      </c>
      <c r="AE42" s="6" t="inlineStr">
        <is>
          <t>2026-07-07</t>
        </is>
      </c>
      <c r="AF42" s="11" t="inlineStr">
        <is>
          <t>Decision maker: Development VP; Contact: info@miamiworldcenter.com. Large ten-block mixed-use development (residential towers, hotel, convention center, retail/lifestyle component) in the Park West area just north of Downtown Miami - a public/mixed-use district under active construction and leasing, not a single business. Coordinates taken from an Apple Maps place link for a component building (Paramount Miami Worldcenter) at the same 851 NE 1st Ave address given by the official site.</t>
        </is>
      </c>
      <c r="AG42" s="7">
        <f>AI42</f>
        <v/>
      </c>
      <c r="AH42" s="7">
        <f>AI42</f>
        <v/>
      </c>
      <c r="AI42" s="7">
        <f>IF(COUNTIF(Quests!$D$4:$D$65,A42)&gt;0,"Yes","No")</f>
        <v/>
      </c>
      <c r="AJ42" s="19">
        <f>IF(AND(AB42="active",AC42="verified",X42&lt;&gt;"",Y42&lt;&gt;"",Z42&lt;&gt;"",W42&lt;&gt;""),"Yes","No")</f>
        <v/>
      </c>
      <c r="AK42" s="7">
        <f>IF(OR(B42="manual_review",Z42="",X42="",AC42&lt;&gt;"verified"),"Yes","No")</f>
        <v/>
      </c>
    </row>
    <row r="43" ht="49" customHeight="1">
      <c r="A43" s="13" t="inlineStr">
        <is>
          <t>miracle-mile-coral-gables</t>
        </is>
      </c>
      <c r="B43" s="13" t="inlineStr">
        <is>
          <t>import</t>
        </is>
      </c>
      <c r="C43" s="13" t="inlineStr">
        <is>
          <t>Miracle Mile</t>
        </is>
      </c>
      <c r="D43" s="13" t="inlineStr">
        <is>
          <t>Miracle Mile</t>
        </is>
      </c>
      <c r="E43" s="13" t="inlineStr">
        <is>
          <t>Coral Way between SW 37th Ave and SW 42nd Ave</t>
        </is>
      </c>
      <c r="F43" s="13" t="inlineStr">
        <is>
          <t>Coral Gables</t>
        </is>
      </c>
      <c r="G43" s="13" t="inlineStr">
        <is>
          <t>FL</t>
        </is>
      </c>
      <c r="H43" s="13" t="inlineStr">
        <is>
          <t>33134</t>
        </is>
      </c>
      <c r="I43" s="13" t="inlineStr">
        <is>
          <t>Coral Gables</t>
        </is>
      </c>
      <c r="J43" s="14" t="n">
        <v>25.749713</v>
      </c>
      <c r="K43" s="14" t="n">
        <v>-80.255427</v>
      </c>
      <c r="L43" s="13" t="n"/>
      <c r="M43" s="13" t="n"/>
      <c r="N43" s="13" t="inlineStr">
        <is>
          <t>The Half-Mile Miracle</t>
        </is>
      </c>
      <c r="O43" s="17" t="inlineStr">
        <is>
          <t>Coral Gables' signature stretch of Coral Way — half a mile of storefronts with a very confident name. Walk it end to end and issue your own verdict.</t>
        </is>
      </c>
      <c r="P43" s="13" t="inlineStr">
        <is>
          <t>shopping</t>
        </is>
      </c>
      <c r="Q43" s="13" t="inlineStr">
        <is>
          <t>easy</t>
        </is>
      </c>
      <c r="R43" s="16" t="n">
        <v>50</v>
      </c>
      <c r="S43" s="16" t="n">
        <v>25</v>
      </c>
      <c r="T43" s="13" t="inlineStr">
        <is>
          <t>15–20 min</t>
        </is>
      </c>
      <c r="U43" s="17" t="inlineStr">
        <is>
          <t>Walk Miracle Mile from one end to the other and photograph your favorite storefront along the way.</t>
        </is>
      </c>
      <c r="V43" s="13" t="inlineStr">
        <is>
          <t>Deliver your verdict in a Community Note: does it earn the name 'Miracle'?</t>
        </is>
      </c>
      <c r="W43" s="13" t="n"/>
      <c r="X43" s="13" t="inlineStr">
        <is>
          <t>https://www.coralgables.com/attractions/miracle-mile</t>
        </is>
      </c>
      <c r="Y43" s="13" t="inlineStr">
        <is>
          <t>https://www.google.com/maps/search/?api=1&amp;query=Miracle+Mile+Coral+Gables+FL</t>
        </is>
      </c>
      <c r="Z43" s="13" t="inlineStr">
        <is>
          <t>https://www.instagram.com/cityofcoralgables/</t>
        </is>
      </c>
      <c r="AA43" s="13" t="inlineStr">
        <is>
          <t>info@coralgableschamber.org</t>
        </is>
      </c>
      <c r="AB43" s="13" t="inlineStr">
        <is>
          <t>active</t>
        </is>
      </c>
      <c r="AC43" s="13" t="inlineStr">
        <is>
          <t>verified</t>
        </is>
      </c>
      <c r="AD43" s="17" t="inlineStr">
        <is>
          <t>City of Coral Gables official site + Wikipedia + Yelp/Google Maps listings, checked 2026-07-07</t>
        </is>
      </c>
      <c r="AE43" s="13" t="inlineStr">
        <is>
          <t>2026-07-07</t>
        </is>
      </c>
      <c r="AF43" s="17" t="inlineStr">
        <is>
          <t>Public commercial/shopping street (0.5-mile stretch of Coral Way), not a single business - no single operator. Decision maker: Coral Gables BID Lead; contact: info@coralgableschamber.org.</t>
        </is>
      </c>
      <c r="AG43" s="7">
        <f>AI43</f>
        <v/>
      </c>
      <c r="AH43" s="7">
        <f>AI43</f>
        <v/>
      </c>
      <c r="AI43" s="7">
        <f>IF(COUNTIF(Quests!$D$4:$D$65,A43)&gt;0,"Yes","No")</f>
        <v/>
      </c>
      <c r="AJ43" s="19">
        <f>IF(AND(AB43="active",AC43="verified",X43&lt;&gt;"",Y43&lt;&gt;"",Z43&lt;&gt;"",W43&lt;&gt;""),"Yes","No")</f>
        <v/>
      </c>
      <c r="AK43" s="7">
        <f>IF(OR(B43="manual_review",Z43="",X43="",AC43&lt;&gt;"verified"),"Yes","No")</f>
        <v/>
      </c>
    </row>
    <row r="44" ht="64" customHeight="1">
      <c r="A44" s="6" t="inlineStr">
        <is>
          <t>kaseya-center-plaza</t>
        </is>
      </c>
      <c r="B44" s="6" t="inlineStr">
        <is>
          <t>import</t>
        </is>
      </c>
      <c r="C44" s="6" t="inlineStr">
        <is>
          <t>Kaseya Center (AT&amp;T East Plaza)</t>
        </is>
      </c>
      <c r="D44" s="6" t="inlineStr">
        <is>
          <t>Kaseya Center</t>
        </is>
      </c>
      <c r="E44" s="6" t="inlineStr">
        <is>
          <t>601 Biscayne Blvd</t>
        </is>
      </c>
      <c r="F44" s="6" t="inlineStr">
        <is>
          <t>Miami</t>
        </is>
      </c>
      <c r="G44" s="6" t="inlineStr">
        <is>
          <t>FL</t>
        </is>
      </c>
      <c r="H44" s="6" t="inlineStr">
        <is>
          <t>33132</t>
        </is>
      </c>
      <c r="I44" s="6" t="inlineStr">
        <is>
          <t>Downtown Miami</t>
        </is>
      </c>
      <c r="J44" s="8" t="n">
        <v>25.7813595</v>
      </c>
      <c r="K44" s="8" t="n">
        <v>-80.1879435</v>
      </c>
      <c r="L44" s="6" t="n"/>
      <c r="M44" s="6" t="n"/>
      <c r="N44" s="6" t="inlineStr">
        <is>
          <t>Home Court</t>
        </is>
      </c>
      <c r="O44" s="11" t="inlineStr">
        <is>
          <t>The 23,000-square-foot East Plaza outside Kaseya Center is Downtown's pre-game front porch — and on quiet days, a bayfront shortcut with an arena-sized backdrop. Game night or ghost town, the Heat's house is worth the walk.</t>
        </is>
      </c>
      <c r="P44" s="6" t="inlineStr">
        <is>
          <t>culture</t>
        </is>
      </c>
      <c r="Q44" s="6" t="inlineStr">
        <is>
          <t>easy</t>
        </is>
      </c>
      <c r="R44" s="10" t="n">
        <v>50</v>
      </c>
      <c r="S44" s="10" t="n">
        <v>25</v>
      </c>
      <c r="T44" s="6" t="inlineStr">
        <is>
          <t>5–10 min</t>
        </is>
      </c>
      <c r="U44" s="11" t="inlineStr">
        <is>
          <t>Find the East Plaza at Kaseya Center and capture the arena where the Heat play — game day or not.</t>
        </is>
      </c>
      <c r="V44" s="6" t="inlineStr">
        <is>
          <t>Practice your championship-parade wave across the plaza.</t>
        </is>
      </c>
      <c r="W44" s="6" t="n"/>
      <c r="X44" s="6" t="inlineStr">
        <is>
          <t>https://www.kaseyacenter.com/</t>
        </is>
      </c>
      <c r="Y44" s="6" t="inlineStr">
        <is>
          <t>https://www.google.com/maps/search/?api=1&amp;query=Kaseya+Center+601+Biscayne+Blvd+Miami+FL</t>
        </is>
      </c>
      <c r="Z44" s="6" t="inlineStr">
        <is>
          <t>https://www.instagram.com/kaseyacenter/</t>
        </is>
      </c>
      <c r="AA44" s="6" t="inlineStr">
        <is>
          <t>info@kaseyacenter.com</t>
        </is>
      </c>
      <c r="AB44" s="6" t="inlineStr">
        <is>
          <t>active</t>
        </is>
      </c>
      <c r="AC44" s="6" t="inlineStr">
        <is>
          <t>verified</t>
        </is>
      </c>
      <c r="AD44" s="11" t="inlineStr">
        <is>
          <t>kaseyacenter.com official site + Yelp/Vendry listings, checked 2026-07-07</t>
        </is>
      </c>
      <c r="AE44" s="6" t="inlineStr">
        <is>
          <t>2026-07-07</t>
        </is>
      </c>
      <c r="AF44" s="11" t="inlineStr">
        <is>
          <t>"Kaseya Center Plaza" refers to the AT&amp;T East Plaza, a 23,000 sq ft outdoor gathering space at Kaseya Center (Miami Heat arena, formerly FTX Arena/American Airlines Arena). Not an independent business - part of the arena complex. Decision maker: Event Ops Lead; contact: info@kaseyacenter.com.</t>
        </is>
      </c>
      <c r="AG44" s="7">
        <f>AI44</f>
        <v/>
      </c>
      <c r="AH44" s="7">
        <f>AI44</f>
        <v/>
      </c>
      <c r="AI44" s="7">
        <f>IF(COUNTIF(Quests!$D$4:$D$65,A44)&gt;0,"Yes","No")</f>
        <v/>
      </c>
      <c r="AJ44" s="19">
        <f>IF(AND(AB44="active",AC44="verified",X44&lt;&gt;"",Y44&lt;&gt;"",Z44&lt;&gt;"",W44&lt;&gt;""),"Yes","No")</f>
        <v/>
      </c>
      <c r="AK44" s="7">
        <f>IF(OR(B44="manual_review",Z44="",X44="",AC44&lt;&gt;"verified"),"Yes","No")</f>
        <v/>
      </c>
    </row>
    <row r="45" ht="79" customHeight="1">
      <c r="A45" s="13" t="inlineStr">
        <is>
          <t>jungle-island</t>
        </is>
      </c>
      <c r="B45" s="13" t="inlineStr">
        <is>
          <t>import</t>
        </is>
      </c>
      <c r="C45" s="13" t="inlineStr">
        <is>
          <t>Jungle Island</t>
        </is>
      </c>
      <c r="D45" s="13" t="inlineStr">
        <is>
          <t>Jungle Island</t>
        </is>
      </c>
      <c r="E45" s="13" t="inlineStr">
        <is>
          <t>1111 Parrot Jungle Trail</t>
        </is>
      </c>
      <c r="F45" s="13" t="inlineStr">
        <is>
          <t>Miami</t>
        </is>
      </c>
      <c r="G45" s="13" t="inlineStr">
        <is>
          <t>FL</t>
        </is>
      </c>
      <c r="H45" s="13" t="inlineStr">
        <is>
          <t>33132</t>
        </is>
      </c>
      <c r="I45" s="13" t="inlineStr">
        <is>
          <t>Watson Island</t>
        </is>
      </c>
      <c r="J45" s="14" t="n">
        <v>25.786155</v>
      </c>
      <c r="K45" s="14" t="n">
        <v>-80.174993</v>
      </c>
      <c r="L45" s="13" t="n"/>
      <c r="M45" s="13" t="inlineStr">
        <is>
          <t>Open daily</t>
        </is>
      </c>
      <c r="N45" s="13" t="inlineStr">
        <is>
          <t>The Wild Side of Watson Island</t>
        </is>
      </c>
      <c r="O45" s="17" t="inlineStr">
        <is>
          <t>An eco-adventure park on Watson Island, minutes from Downtown and open daily. Skyscrapers on one horizon, jungle canopy on the other — Miami's weirdest, wildest border crossing.</t>
        </is>
      </c>
      <c r="P45" s="13" t="inlineStr">
        <is>
          <t>outdoors</t>
        </is>
      </c>
      <c r="Q45" s="13" t="inlineStr">
        <is>
          <t>medium</t>
        </is>
      </c>
      <c r="R45" s="16" t="n">
        <v>150</v>
      </c>
      <c r="S45" s="16" t="n">
        <v>75</v>
      </c>
      <c r="T45" s="13" t="inlineStr">
        <is>
          <t>15–20 min</t>
        </is>
      </c>
      <c r="U45" s="17" t="inlineStr">
        <is>
          <t>Explore Jungle Island and photograph the most tropical resident you meet.</t>
        </is>
      </c>
      <c r="V45" s="13" t="inlineStr">
        <is>
          <t>Imitate the call of the loudest bird you hear. Commit fully.</t>
        </is>
      </c>
      <c r="W45" s="13" t="n"/>
      <c r="X45" s="13" t="inlineStr">
        <is>
          <t>https://www.jungleisland.com/</t>
        </is>
      </c>
      <c r="Y45" s="13" t="inlineStr">
        <is>
          <t>https://www.google.com/maps/search/?api=1&amp;query=Jungle+Island+1111+Parrot+Jungle+Trail+Miami+FL</t>
        </is>
      </c>
      <c r="Z45" s="13" t="inlineStr">
        <is>
          <t>https://www.instagram.com/jungleisland/</t>
        </is>
      </c>
      <c r="AA45" s="13" t="inlineStr">
        <is>
          <t>info@jungleisland.com</t>
        </is>
      </c>
      <c r="AB45" s="13" t="inlineStr">
        <is>
          <t>active</t>
        </is>
      </c>
      <c r="AC45" s="13" t="inlineStr">
        <is>
          <t>verified</t>
        </is>
      </c>
      <c r="AD45" s="17" t="inlineStr">
        <is>
          <t>Official site (jungleisland.com) + Wikipedia + Bisnow/Miami Times redevelopment coverage, checked 2026-07-07</t>
        </is>
      </c>
      <c r="AE45" s="13" t="inlineStr">
        <is>
          <t>2026-07-07</t>
        </is>
      </c>
      <c r="AF45" s="17" t="inlineStr">
        <is>
          <t>Eco-adventure/zoo park on Watson Island, open daily as of July 2026. Note: city of Miami has approved a major redevelopment (condo towers by Terra Group/ESJ Capital Partners) for part of the site; park is expected to continue operating on a reduced footprint during/after redevelopment, but no closure date confirmed. Decision maker: Operations VP; contact: info@jungleisland.com.</t>
        </is>
      </c>
      <c r="AG45" s="7">
        <f>AI45</f>
        <v/>
      </c>
      <c r="AH45" s="7">
        <f>AI45</f>
        <v/>
      </c>
      <c r="AI45" s="7">
        <f>IF(COUNTIF(Quests!$D$4:$D$65,A45)&gt;0,"Yes","No")</f>
        <v/>
      </c>
      <c r="AJ45" s="19">
        <f>IF(AND(AB45="active",AC45="verified",X45&lt;&gt;"",Y45&lt;&gt;"",Z45&lt;&gt;"",W45&lt;&gt;""),"Yes","No")</f>
        <v/>
      </c>
      <c r="AK45" s="7">
        <f>IF(OR(B45="manual_review",Z45="",X45="",AC45&lt;&gt;"verified"),"Yes","No")</f>
        <v/>
      </c>
    </row>
    <row r="46" ht="79" customHeight="1">
      <c r="A46" s="6" t="inlineStr">
        <is>
          <t>giralda-plaza</t>
        </is>
      </c>
      <c r="B46" s="6" t="inlineStr">
        <is>
          <t>import</t>
        </is>
      </c>
      <c r="C46" s="6" t="inlineStr">
        <is>
          <t>Giralda Plaza</t>
        </is>
      </c>
      <c r="D46" s="6" t="inlineStr">
        <is>
          <t>Giralda Plaza</t>
        </is>
      </c>
      <c r="E46" s="6" t="inlineStr">
        <is>
          <t>100 block of Giralda Ave</t>
        </is>
      </c>
      <c r="F46" s="6" t="inlineStr">
        <is>
          <t>Coral Gables</t>
        </is>
      </c>
      <c r="G46" s="6" t="inlineStr">
        <is>
          <t>FL</t>
        </is>
      </c>
      <c r="H46" s="6" t="inlineStr">
        <is>
          <t>33134</t>
        </is>
      </c>
      <c r="I46" s="6" t="inlineStr">
        <is>
          <t>Coral Gables</t>
        </is>
      </c>
      <c r="J46" s="8" t="n">
        <v>25.7514867</v>
      </c>
      <c r="K46" s="8" t="n">
        <v>-80.25706340000001</v>
      </c>
      <c r="L46" s="6" t="n"/>
      <c r="M46" s="6" t="n"/>
      <c r="N46" s="6" t="inlineStr">
        <is>
          <t>The Pedestrian's Feast</t>
        </is>
      </c>
      <c r="O46" s="11" t="inlineStr">
        <is>
          <t>Coral Gables closed this block of Giralda Avenue to cars in 2017 and handed it to dinner tables. It's downtown's open-air dining room — walk it slow.</t>
        </is>
      </c>
      <c r="P46" s="6" t="inlineStr">
        <is>
          <t>food</t>
        </is>
      </c>
      <c r="Q46" s="6" t="inlineStr">
        <is>
          <t>easy</t>
        </is>
      </c>
      <c r="R46" s="10" t="n">
        <v>50</v>
      </c>
      <c r="S46" s="10" t="n">
        <v>25</v>
      </c>
      <c r="T46" s="6" t="inlineStr">
        <is>
          <t>5–10 min</t>
        </is>
      </c>
      <c r="U46" s="11" t="inlineStr">
        <is>
          <t>Stroll pedestrian-only Giralda Plaza end to end and photograph the table you'd claim on a Friday night.</t>
        </is>
      </c>
      <c r="V46" s="6" t="inlineStr">
        <is>
          <t>Rate the plaza's people-watching out of ten. Out loud.</t>
        </is>
      </c>
      <c r="W46" s="6" t="n"/>
      <c r="X46" s="6" t="inlineStr">
        <is>
          <t>https://www.coralgables.com/attractions/giralda-plaza</t>
        </is>
      </c>
      <c r="Y46" s="6" t="inlineStr">
        <is>
          <t>https://www.google.com/maps/search/?api=1&amp;query=Giralda+Plaza+Coral+Gables+FL</t>
        </is>
      </c>
      <c r="Z46" s="6" t="inlineStr">
        <is>
          <t>https://www.instagram.com/giraldaplaza/</t>
        </is>
      </c>
      <c r="AA46" s="6" t="inlineStr">
        <is>
          <t>info@giraldaplaza.com</t>
        </is>
      </c>
      <c r="AB46" s="6" t="inlineStr">
        <is>
          <t>active</t>
        </is>
      </c>
      <c r="AC46" s="6" t="inlineStr">
        <is>
          <t>verified</t>
        </is>
      </c>
      <c r="AD46" s="11" t="inlineStr">
        <is>
          <t>coralgables.com official page + Instagram + Yelp/LoopNet listings, checked 2026-07-07</t>
        </is>
      </c>
      <c r="AE46" s="6" t="inlineStr">
        <is>
          <t>2026-07-07</t>
        </is>
      </c>
      <c r="AF46" s="11" t="inlineStr">
        <is>
          <t>Pedestrian dining/restaurant walkway in downtown Coral Gables, reopened 2017. Input Instagram handle '@giralda.plaza' appears to be incorrect/inactive; verified official handle is '@giraldaplaza'. Public space with a merchant association, not a single business. Decision maker: Merchant Assoc. Head; contact: info@giraldaplaza.com.</t>
        </is>
      </c>
      <c r="AG46" s="7">
        <f>AI46</f>
        <v/>
      </c>
      <c r="AH46" s="7">
        <f>AI46</f>
        <v/>
      </c>
      <c r="AI46" s="7">
        <f>IF(COUNTIF(Quests!$D$4:$D$65,A46)&gt;0,"Yes","No")</f>
        <v/>
      </c>
      <c r="AJ46" s="19">
        <f>IF(AND(AB46="active",AC46="verified",X46&lt;&gt;"",Y46&lt;&gt;"",Z46&lt;&gt;"",W46&lt;&gt;""),"Yes","No")</f>
        <v/>
      </c>
      <c r="AK46" s="7">
        <f>IF(OR(B46="manual_review",Z46="",X46="",AC46&lt;&gt;"verified"),"Yes","No")</f>
        <v/>
      </c>
    </row>
    <row r="47" ht="94" customHeight="1">
      <c r="A47" s="13" t="inlineStr">
        <is>
          <t>jungle-plaza-design-district</t>
        </is>
      </c>
      <c r="B47" s="13" t="inlineStr">
        <is>
          <t>import</t>
        </is>
      </c>
      <c r="C47" s="13" t="inlineStr">
        <is>
          <t>Jungle Plaza</t>
        </is>
      </c>
      <c r="D47" s="13" t="inlineStr">
        <is>
          <t>Jungle Plaza</t>
        </is>
      </c>
      <c r="E47" s="13" t="inlineStr">
        <is>
          <t>3801 NE 1st Ave</t>
        </is>
      </c>
      <c r="F47" s="13" t="inlineStr">
        <is>
          <t>Miami</t>
        </is>
      </c>
      <c r="G47" s="13" t="inlineStr">
        <is>
          <t>FL</t>
        </is>
      </c>
      <c r="H47" s="13" t="inlineStr">
        <is>
          <t>33137</t>
        </is>
      </c>
      <c r="I47" s="13" t="inlineStr">
        <is>
          <t>Design District</t>
        </is>
      </c>
      <c r="J47" s="14" t="n">
        <v>25.811964</v>
      </c>
      <c r="K47" s="14" t="n">
        <v>-80.193276</v>
      </c>
      <c r="L47" s="13" t="n"/>
      <c r="M47" s="13" t="n"/>
      <c r="N47" s="13" t="inlineStr">
        <is>
          <t>Through the Portal</t>
        </is>
      </c>
      <c r="O47" s="17" t="inlineStr">
        <is>
          <t>A 33,000-square-foot open plaza in the Design District, home to Criola's 'Interdimensional Portal' mural. As advertised: it's a portal. Interdimensionally speaking.</t>
        </is>
      </c>
      <c r="P47" s="13" t="inlineStr">
        <is>
          <t>art</t>
        </is>
      </c>
      <c r="Q47" s="13" t="inlineStr">
        <is>
          <t>easy</t>
        </is>
      </c>
      <c r="R47" s="16" t="n">
        <v>50</v>
      </c>
      <c r="S47" s="16" t="n">
        <v>25</v>
      </c>
      <c r="T47" s="13" t="inlineStr">
        <is>
          <t>5–10 min</t>
        </is>
      </c>
      <c r="U47" s="17" t="inlineStr">
        <is>
          <t>Find Criola's 'Interdimensional Portal' mural at Jungle Plaza and step through it — photographically speaking.</t>
        </is>
      </c>
      <c r="V47" s="13" t="inlineStr">
        <is>
          <t>Pose like you're mid-teleport. Hair matters here.</t>
        </is>
      </c>
      <c r="W47" s="13" t="n"/>
      <c r="X47" s="13" t="inlineStr">
        <is>
          <t>https://www.miamidesigndistrict.com/event-venue/742/jungle-plaza/</t>
        </is>
      </c>
      <c r="Y47" s="13" t="inlineStr">
        <is>
          <t>https://www.google.com/maps/search/?api=1&amp;query=Jungle+Plaza+3801+NE+1st+Ave+Miami+FL</t>
        </is>
      </c>
      <c r="Z47" s="13" t="inlineStr">
        <is>
          <t>https://www.instagram.com/miamidesigndistrict/</t>
        </is>
      </c>
      <c r="AA47" s="13" t="inlineStr">
        <is>
          <t>events@miamidesigndistrict.net</t>
        </is>
      </c>
      <c r="AB47" s="13" t="inlineStr">
        <is>
          <t>active</t>
        </is>
      </c>
      <c r="AC47" s="13" t="inlineStr">
        <is>
          <t>verified</t>
        </is>
      </c>
      <c r="AD47" s="17" t="inlineStr">
        <is>
          <t>miamidesigndistrict.com venue page + Bill Hansen/PartySlate venue listings, checked 2026-07-07</t>
        </is>
      </c>
      <c r="AE47" s="13" t="inlineStr">
        <is>
          <t>2026-07-07</t>
        </is>
      </c>
      <c r="AF47" s="17" t="inlineStr">
        <is>
          <t>33,000 sq ft outdoor event space within Miami Design District (features the 'Interdimensional Portal' mural by Criola); managed by Design District/DACRA, not an independent business - uses the Design District's shared Instagram account. Input website normalized from miamidesigndistrict.net to the current miamidesigndistrict.com. Decision maker: DACRA Events Coordinator; contact: events@miamidesigndistrict.net.</t>
        </is>
      </c>
      <c r="AG47" s="7">
        <f>AI47</f>
        <v/>
      </c>
      <c r="AH47" s="7">
        <f>AI47</f>
        <v/>
      </c>
      <c r="AI47" s="7">
        <f>IF(COUNTIF(Quests!$D$4:$D$65,A47)&gt;0,"Yes","No")</f>
        <v/>
      </c>
      <c r="AJ47" s="19">
        <f>IF(AND(AB47="active",AC47="verified",X47&lt;&gt;"",Y47&lt;&gt;"",Z47&lt;&gt;"",W47&lt;&gt;""),"Yes","No")</f>
        <v/>
      </c>
      <c r="AK47" s="7">
        <f>IF(OR(B47="manual_review",Z47="",X47="",AC47&lt;&gt;"verified"),"Yes","No")</f>
        <v/>
      </c>
    </row>
    <row r="48" ht="109" customHeight="1">
      <c r="A48" s="6" t="inlineStr">
        <is>
          <t>citizens-miamicentral</t>
        </is>
      </c>
      <c r="B48" s="6" t="inlineStr">
        <is>
          <t>import</t>
        </is>
      </c>
      <c r="C48" s="6" t="inlineStr">
        <is>
          <t>Citizens MiamiCentral</t>
        </is>
      </c>
      <c r="D48" s="6" t="inlineStr">
        <is>
          <t>Citizens MiamiCentral</t>
        </is>
      </c>
      <c r="E48" s="6" t="inlineStr">
        <is>
          <t>600 NW 1st Ave</t>
        </is>
      </c>
      <c r="F48" s="6" t="inlineStr">
        <is>
          <t>Miami</t>
        </is>
      </c>
      <c r="G48" s="6" t="inlineStr">
        <is>
          <t>FL</t>
        </is>
      </c>
      <c r="H48" s="6" t="inlineStr">
        <is>
          <t>33136</t>
        </is>
      </c>
      <c r="I48" s="6" t="inlineStr">
        <is>
          <t>Downtown Miami</t>
        </is>
      </c>
      <c r="J48" s="8" t="n">
        <v>25.79118</v>
      </c>
      <c r="K48" s="8" t="n">
        <v>-80.1966257</v>
      </c>
      <c r="L48" s="6" t="n"/>
      <c r="M48" s="6" t="n"/>
      <c r="N48" s="6" t="inlineStr">
        <is>
          <t>Eat Like a Commuter</t>
        </is>
      </c>
      <c r="O48" s="11" t="inlineStr">
        <is>
          <t>A food hall built into Brightline's MiamiCentral station, where intercity trains and lunch counters share a roof. The rare place where 'grabbing a bite before the train' is the destination.</t>
        </is>
      </c>
      <c r="P48" s="6" t="inlineStr">
        <is>
          <t>food</t>
        </is>
      </c>
      <c r="Q48" s="6" t="inlineStr">
        <is>
          <t>easy</t>
        </is>
      </c>
      <c r="R48" s="10" t="n">
        <v>50</v>
      </c>
      <c r="S48" s="10" t="n">
        <v>25</v>
      </c>
      <c r="T48" s="6" t="inlineStr">
        <is>
          <t>10–15 min</t>
        </is>
      </c>
      <c r="U48" s="11" t="inlineStr">
        <is>
          <t>Find the food hall inside MiamiCentral station and photograph the scene — trains, counters and all.</t>
        </is>
      </c>
      <c r="V48" s="6" t="inlineStr">
        <is>
          <t>Time your photo to a Brightline arrival if you can. Patience is a virtue.</t>
        </is>
      </c>
      <c r="W48" s="6" t="n"/>
      <c r="X48" s="6" t="inlineStr">
        <is>
          <t>https://www.gobrightline.com/</t>
        </is>
      </c>
      <c r="Y48" s="6" t="inlineStr">
        <is>
          <t>https://www.google.com/maps/search/?api=1&amp;query=Citizens+MiamiCentral+600+NW+1st+Ave+Miami+FL</t>
        </is>
      </c>
      <c r="Z48" s="6" t="inlineStr">
        <is>
          <t>https://www.instagram.com/citizens_miamicentral/</t>
        </is>
      </c>
      <c r="AA48" s="6" t="inlineStr">
        <is>
          <t>info@gobrightline.com</t>
        </is>
      </c>
      <c r="AB48" s="6" t="inlineStr">
        <is>
          <t>active</t>
        </is>
      </c>
      <c r="AC48" s="6" t="inlineStr">
        <is>
          <t>verified</t>
        </is>
      </c>
      <c r="AD48" s="11" t="inlineStr">
        <is>
          <t>gobrightline.com press releases, Miami New Times, Yelp listing (Aug 2025), checked 2026-07-07</t>
        </is>
      </c>
      <c r="AE48" s="6" t="inlineStr">
        <is>
          <t>2026-07-07</t>
        </is>
      </c>
      <c r="AF48" s="11" t="inlineStr">
        <is>
          <t>Food hall inside Brightline's MiamiCentral station. Had a period of closure/rebranding (was 'Central Fare', briefly dark, relaunched as 'Central Fare Food Collective' June 2025, then rebranded again to Citizens MiamiCentral under C3/Sam Nazarian partnership). Active as of mid-2026 per Yelp reviews and Brightline press releases. Input website 'brightlinestations.com' does not appear to be the correct live domain; using gobrightline.com / miamicentral.com instead. Decision maker: Transit Hub Director; contact: info@gobrightline.com.</t>
        </is>
      </c>
      <c r="AG48" s="7">
        <f>AI48</f>
        <v/>
      </c>
      <c r="AH48" s="7">
        <f>AI48</f>
        <v/>
      </c>
      <c r="AI48" s="7">
        <f>IF(COUNTIF(Quests!$D$4:$D$65,A48)&gt;0,"Yes","No")</f>
        <v/>
      </c>
      <c r="AJ48" s="19">
        <f>IF(AND(AB48="active",AC48="verified",X48&lt;&gt;"",Y48&lt;&gt;"",Z48&lt;&gt;"",W48&lt;&gt;""),"Yes","No")</f>
        <v/>
      </c>
      <c r="AK48" s="7">
        <f>IF(OR(B48="manual_review",Z48="",X48="",AC48&lt;&gt;"verified"),"Yes","No")</f>
        <v/>
      </c>
    </row>
    <row r="49" ht="64" customHeight="1">
      <c r="A49" s="13" t="inlineStr">
        <is>
          <t>maurice-ferre-park</t>
        </is>
      </c>
      <c r="B49" s="13" t="inlineStr">
        <is>
          <t>import</t>
        </is>
      </c>
      <c r="C49" s="13" t="inlineStr">
        <is>
          <t>Maurice A. Ferré Park</t>
        </is>
      </c>
      <c r="D49" s="13" t="inlineStr">
        <is>
          <t>Maurice A. Ferré Park</t>
        </is>
      </c>
      <c r="E49" s="13" t="inlineStr">
        <is>
          <t>1075 Biscayne Blvd</t>
        </is>
      </c>
      <c r="F49" s="13" t="inlineStr">
        <is>
          <t>Miami</t>
        </is>
      </c>
      <c r="G49" s="13" t="inlineStr">
        <is>
          <t>FL</t>
        </is>
      </c>
      <c r="H49" s="13" t="inlineStr">
        <is>
          <t>33132</t>
        </is>
      </c>
      <c r="I49" s="13" t="inlineStr">
        <is>
          <t>Downtown Miami / Arts &amp; Entertainment District</t>
        </is>
      </c>
      <c r="J49" s="14" t="n">
        <v>25.7839</v>
      </c>
      <c r="K49" s="14" t="n">
        <v>-80.18689999999999</v>
      </c>
      <c r="L49" s="13" t="n"/>
      <c r="M49" s="13" t="n"/>
      <c r="N49" s="13" t="inlineStr">
        <is>
          <t>The Museum's Front Yard</t>
        </is>
      </c>
      <c r="O49" s="17" t="inlineStr">
        <is>
          <t>Thirty acres of downtown waterfront green, renamed in 2019 for Miami's former mayor — with PAMM and the Frost Science Museum living inside it. Culture on one side, Biscayne Bay on the other, grass in between.</t>
        </is>
      </c>
      <c r="P49" s="13" t="inlineStr">
        <is>
          <t>outdoors</t>
        </is>
      </c>
      <c r="Q49" s="13" t="inlineStr">
        <is>
          <t>easy</t>
        </is>
      </c>
      <c r="R49" s="16" t="n">
        <v>50</v>
      </c>
      <c r="S49" s="16" t="n">
        <v>25</v>
      </c>
      <c r="T49" s="13" t="inlineStr">
        <is>
          <t>10–15 min</t>
        </is>
      </c>
      <c r="U49" s="17" t="inlineStr">
        <is>
          <t>Walk the park's waterfront and frame one photo with the bay on one side and the museums on the other.</t>
        </is>
      </c>
      <c r="V49" s="13" t="inlineStr">
        <is>
          <t>Find the best patch of grass and claim it for exactly one minute of doing absolutely nothing.</t>
        </is>
      </c>
      <c r="W49" s="13" t="n"/>
      <c r="X49" s="13" t="inlineStr">
        <is>
          <t>https://www.miami.gov/Parks-Public-Places/Parks-Directory/Maurice-A.-Ferre-Park</t>
        </is>
      </c>
      <c r="Y49" s="13" t="inlineStr">
        <is>
          <t>https://www.google.com/maps/search/?api=1&amp;query=Maurice+A.+Ferre+Park+1075+Biscayne+Blvd+Miami+FL</t>
        </is>
      </c>
      <c r="Z49" s="13" t="inlineStr">
        <is>
          <t>https://www.instagram.com/miamiparks/</t>
        </is>
      </c>
      <c r="AA49" s="13" t="inlineStr">
        <is>
          <t>parks@miamigov.com</t>
        </is>
      </c>
      <c r="AB49" s="13" t="inlineStr">
        <is>
          <t>active</t>
        </is>
      </c>
      <c r="AC49" s="13" t="inlineStr">
        <is>
          <t>verified</t>
        </is>
      </c>
      <c r="AD49" s="17" t="inlineStr">
        <is>
          <t>miami.gov park directory + Wikipedia (Museum Park (Miami)) + bayfrontparkmiami.com, checked 2026-07-07</t>
        </is>
      </c>
      <c r="AE49" s="13" t="inlineStr">
        <is>
          <t>2026-07-07</t>
        </is>
      </c>
      <c r="AF49" s="17" t="inlineStr">
        <is>
          <t>30-acre downtown waterfront park, formerly named 'Museum Park', renamed Maurice A. Ferré Park in 2019 in honor of the former Miami mayor. Home to Perez Art Museum Miami and Frost Science Museum. Public space, City of Miami Parks Dept operated. Decision maker: City Park Management; contact: parks@miamigov.com.</t>
        </is>
      </c>
      <c r="AG49" s="7">
        <f>AI49</f>
        <v/>
      </c>
      <c r="AH49" s="7">
        <f>AI49</f>
        <v/>
      </c>
      <c r="AI49" s="7">
        <f>IF(COUNTIF(Quests!$D$4:$D$65,A49)&gt;0,"Yes","No")</f>
        <v/>
      </c>
      <c r="AJ49" s="19">
        <f>IF(AND(AB49="active",AC49="verified",X49&lt;&gt;"",Y49&lt;&gt;"",Z49&lt;&gt;"",W49&lt;&gt;""),"Yes","No")</f>
        <v/>
      </c>
      <c r="AK49" s="7">
        <f>IF(OR(B49="manual_review",Z49="",X49="",AC49&lt;&gt;"verified"),"Yes","No")</f>
        <v/>
      </c>
    </row>
    <row r="50" ht="94" customHeight="1">
      <c r="A50" s="6" t="inlineStr">
        <is>
          <t>espanola-way</t>
        </is>
      </c>
      <c r="B50" s="6" t="inlineStr">
        <is>
          <t>import</t>
        </is>
      </c>
      <c r="C50" s="6" t="inlineStr">
        <is>
          <t>Española Way</t>
        </is>
      </c>
      <c r="D50" s="6" t="inlineStr">
        <is>
          <t>Española Way</t>
        </is>
      </c>
      <c r="E50" s="6" t="inlineStr">
        <is>
          <t>419 Española Way</t>
        </is>
      </c>
      <c r="F50" s="6" t="inlineStr">
        <is>
          <t>Miami Beach</t>
        </is>
      </c>
      <c r="G50" s="6" t="inlineStr">
        <is>
          <t>FL</t>
        </is>
      </c>
      <c r="H50" s="6" t="inlineStr">
        <is>
          <t>33139</t>
        </is>
      </c>
      <c r="I50" s="6" t="inlineStr">
        <is>
          <t>South Beach</t>
        </is>
      </c>
      <c r="J50" s="8" t="n">
        <v>25.7870053</v>
      </c>
      <c r="K50" s="8" t="n">
        <v>-80.1320681</v>
      </c>
      <c r="L50" s="6" t="n"/>
      <c r="M50" s="6" t="n"/>
      <c r="N50" s="6" t="inlineStr">
        <is>
          <t>The Spanish Detour</t>
        </is>
      </c>
      <c r="O50" s="11" t="inlineStr">
        <is>
          <t>A historic Mediterranean-style pedestrian street tucked between Washington and Drexel, freshly restored and permanently unhurried. Two blocks of South Beach that decided to be Spain instead.</t>
        </is>
      </c>
      <c r="P50" s="6" t="inlineStr">
        <is>
          <t>culture</t>
        </is>
      </c>
      <c r="Q50" s="6" t="inlineStr">
        <is>
          <t>easy</t>
        </is>
      </c>
      <c r="R50" s="10" t="n">
        <v>50</v>
      </c>
      <c r="S50" s="10" t="n">
        <v>25</v>
      </c>
      <c r="T50" s="6" t="inlineStr">
        <is>
          <t>5–10 min</t>
        </is>
      </c>
      <c r="U50" s="11" t="inlineStr">
        <is>
          <t>Wander Española Way and photograph the detail that feels imported straight from the Mediterranean.</t>
        </is>
      </c>
      <c r="V50" s="6" t="inlineStr">
        <is>
          <t>Bid the street 'buenas noches' when you leave — time of day irrelevant.</t>
        </is>
      </c>
      <c r="W50" s="6" t="n"/>
      <c r="X50" s="6" t="inlineStr">
        <is>
          <t>https://www.experiencemiamibeach.com/local-attractions/espanola-way</t>
        </is>
      </c>
      <c r="Y50" s="6" t="inlineStr">
        <is>
          <t>https://www.google.com/maps/search/?api=1&amp;query=Espanola+Way+Miami+Beach+FL</t>
        </is>
      </c>
      <c r="Z50" s="6" t="inlineStr">
        <is>
          <t>https://www.instagram.com/espanolaway/</t>
        </is>
      </c>
      <c r="AA50" s="6" t="inlineStr">
        <is>
          <t>info@visitespanolaway.com</t>
        </is>
      </c>
      <c r="AB50" s="6" t="inlineStr">
        <is>
          <t>active</t>
        </is>
      </c>
      <c r="AC50" s="6" t="inlineStr">
        <is>
          <t>verified</t>
        </is>
      </c>
      <c r="AD50" s="11" t="inlineStr">
        <is>
          <t>Yelp, Miami Design Preservation League, experiencemiamibeach.com, checked 2026-07-07</t>
        </is>
      </c>
      <c r="AE50" s="6" t="inlineStr">
        <is>
          <t>2026-07-07</t>
        </is>
      </c>
      <c r="AF50" s="11" t="inlineStr">
        <is>
          <t>Historic pedestrian-oriented Mediterranean-style street/plaza in South Beach between Washington Ave and Drexel Ave, recently completed a $2.5M revitalization. Public space with a historic district board, not a single business; input website 'visitespanolaway.com' could not be independently confirmed as live - using City/tourism board page instead. Decision maker: Historic District Board; contact: info@visitespanolaway.com.</t>
        </is>
      </c>
      <c r="AG50" s="7">
        <f>AI50</f>
        <v/>
      </c>
      <c r="AH50" s="7">
        <f>AI50</f>
        <v/>
      </c>
      <c r="AI50" s="7">
        <f>IF(COUNTIF(Quests!$D$4:$D$65,A50)&gt;0,"Yes","No")</f>
        <v/>
      </c>
      <c r="AJ50" s="19">
        <f>IF(AND(AB50="active",AC50="verified",X50&lt;&gt;"",Y50&lt;&gt;"",Z50&lt;&gt;"",W50&lt;&gt;""),"Yes","No")</f>
        <v/>
      </c>
      <c r="AK50" s="7">
        <f>IF(OR(B50="manual_review",Z50="",X50="",AC50&lt;&gt;"verified"),"Yes","No")</f>
        <v/>
      </c>
    </row>
    <row r="51" ht="64" customHeight="1">
      <c r="A51" s="13" t="inlineStr">
        <is>
          <t>regatta-harbour-coconut-grove</t>
        </is>
      </c>
      <c r="B51" s="13" t="inlineStr">
        <is>
          <t>import</t>
        </is>
      </c>
      <c r="C51" s="13" t="inlineStr">
        <is>
          <t>Regatta Harbour</t>
        </is>
      </c>
      <c r="D51" s="13" t="inlineStr">
        <is>
          <t>Regatta Harbour</t>
        </is>
      </c>
      <c r="E51" s="13" t="inlineStr">
        <is>
          <t>3385 Pan American Dr</t>
        </is>
      </c>
      <c r="F51" s="13" t="inlineStr">
        <is>
          <t>Miami</t>
        </is>
      </c>
      <c r="G51" s="13" t="inlineStr">
        <is>
          <t>FL</t>
        </is>
      </c>
      <c r="H51" s="13" t="inlineStr">
        <is>
          <t>33133</t>
        </is>
      </c>
      <c r="I51" s="13" t="inlineStr">
        <is>
          <t>Coconut Grove</t>
        </is>
      </c>
      <c r="J51" s="14" t="n">
        <v>25.7284643</v>
      </c>
      <c r="K51" s="14" t="n">
        <v>-80.2339205</v>
      </c>
      <c r="L51" s="13" t="n"/>
      <c r="M51" s="13" t="n"/>
      <c r="N51" s="13" t="inlineStr">
        <is>
          <t>Dinner Key Discovery</t>
        </is>
      </c>
      <c r="O51" s="17" t="inlineStr">
        <is>
          <t>Coconut Grove's waterfront hub on historic Dinner Key — marina, dining and bay breeze run by people who clearly understand what the Grove is for. Come watch the masts sway.</t>
        </is>
      </c>
      <c r="P51" s="13" t="inlineStr">
        <is>
          <t>outdoors</t>
        </is>
      </c>
      <c r="Q51" s="13" t="inlineStr">
        <is>
          <t>medium</t>
        </is>
      </c>
      <c r="R51" s="16" t="n">
        <v>150</v>
      </c>
      <c r="S51" s="16" t="n">
        <v>75</v>
      </c>
      <c r="T51" s="13" t="inlineStr">
        <is>
          <t>10–15 min</t>
        </is>
      </c>
      <c r="U51" s="17" t="inlineStr">
        <is>
          <t>Explore Regatta Harbour and photograph the spot where the Grove meets the water — boats required in frame.</t>
        </is>
      </c>
      <c r="V51" s="13" t="inlineStr">
        <is>
          <t>Pick the boat you'd captain and christen it out loud with a brand-new name.</t>
        </is>
      </c>
      <c r="W51" s="13" t="n"/>
      <c r="X51" s="13" t="inlineStr">
        <is>
          <t>https://www.regattaharbour.com/</t>
        </is>
      </c>
      <c r="Y51" s="13" t="inlineStr">
        <is>
          <t>https://www.google.com/maps/search/?api=1&amp;query=Regatta+Harbour+3385+Pan+American+Dr+Miami+FL</t>
        </is>
      </c>
      <c r="Z51" s="13" t="inlineStr">
        <is>
          <t>https://www.instagram.com/regattaharbour/</t>
        </is>
      </c>
      <c r="AA51" s="13" t="inlineStr">
        <is>
          <t>info@regattaharbour.com</t>
        </is>
      </c>
      <c r="AB51" s="13" t="inlineStr">
        <is>
          <t>active</t>
        </is>
      </c>
      <c r="AC51" s="13" t="inlineStr">
        <is>
          <t>verified</t>
        </is>
      </c>
      <c r="AD51" s="17" t="inlineStr">
        <is>
          <t>regattaharbour.com official site + Yelp (Regatta Grove) + Time Out coverage, checked 2026-07-07</t>
        </is>
      </c>
      <c r="AE51" s="13" t="inlineStr">
        <is>
          <t>2026-07-07</t>
        </is>
      </c>
      <c r="AF51" s="17" t="inlineStr">
        <is>
          <t>Waterfront retail/dining/marina destination on historic Dinner Key in Coconut Grove, operated by Breakwater Hospitality Group; includes Regatta Grove dining hub and Regatta Marina. Active and operating as of July 2026 per current posted hours. Decision maker: Project Leasing Mgr; contact: info@regattaharbour.com.</t>
        </is>
      </c>
      <c r="AG51" s="7">
        <f>AI51</f>
        <v/>
      </c>
      <c r="AH51" s="7">
        <f>AI51</f>
        <v/>
      </c>
      <c r="AI51" s="7">
        <f>IF(COUNTIF(Quests!$D$4:$D$65,A51)&gt;0,"Yes","No")</f>
        <v/>
      </c>
      <c r="AJ51" s="19">
        <f>IF(AND(AB51="active",AC51="verified",X51&lt;&gt;"",Y51&lt;&gt;"",Z51&lt;&gt;"",W51&lt;&gt;""),"Yes","No")</f>
        <v/>
      </c>
      <c r="AK51" s="7">
        <f>IF(OR(B51="manual_review",Z51="",X51="",AC51&lt;&gt;"verified"),"Yes","No")</f>
        <v/>
      </c>
    </row>
    <row r="52" ht="49" customHeight="1">
      <c r="A52" s="6" t="inlineStr">
        <is>
          <t>government-center-station</t>
        </is>
      </c>
      <c r="B52" s="6" t="inlineStr">
        <is>
          <t>import</t>
        </is>
      </c>
      <c r="C52" s="6" t="inlineStr">
        <is>
          <t>Government Center Station</t>
        </is>
      </c>
      <c r="D52" s="6" t="inlineStr">
        <is>
          <t>Government Center Station</t>
        </is>
      </c>
      <c r="E52" s="6" t="inlineStr">
        <is>
          <t>101 NW 1st St</t>
        </is>
      </c>
      <c r="F52" s="6" t="inlineStr">
        <is>
          <t>Miami</t>
        </is>
      </c>
      <c r="G52" s="6" t="inlineStr">
        <is>
          <t>FL</t>
        </is>
      </c>
      <c r="H52" s="6" t="inlineStr">
        <is>
          <t>33128</t>
        </is>
      </c>
      <c r="I52" s="6" t="inlineStr">
        <is>
          <t>Downtown Miami</t>
        </is>
      </c>
      <c r="J52" s="8" t="n">
        <v>25.7757584</v>
      </c>
      <c r="K52" s="8" t="n">
        <v>-80.1960776</v>
      </c>
      <c r="L52" s="6" t="n"/>
      <c r="M52" s="6" t="n"/>
      <c r="N52" s="6" t="inlineStr">
        <is>
          <t>The Crossroads</t>
        </is>
      </c>
      <c r="O52" s="11" t="inlineStr">
        <is>
          <t>Since 1984 this has been Miami's great transit crossroads — Metrorail, Metromover and Metrobus all converging in one Downtown hub. Most people pass through; this time, stop and look.</t>
        </is>
      </c>
      <c r="P52" s="6" t="inlineStr">
        <is>
          <t>culture</t>
        </is>
      </c>
      <c r="Q52" s="6" t="inlineStr">
        <is>
          <t>easy</t>
        </is>
      </c>
      <c r="R52" s="10" t="n">
        <v>50</v>
      </c>
      <c r="S52" s="10" t="n">
        <v>25</v>
      </c>
      <c r="T52" s="6" t="inlineStr">
        <is>
          <t>5–10 min</t>
        </is>
      </c>
      <c r="U52" s="11" t="inlineStr">
        <is>
          <t>Find where the trains come and go at Government Center and capture one in motion.</t>
        </is>
      </c>
      <c r="V52" s="6" t="inlineStr">
        <is>
          <t>Guess where a departing train is headed, then check the board and grade yourself.</t>
        </is>
      </c>
      <c r="W52" s="6" t="n"/>
      <c r="X52" s="6" t="inlineStr">
        <is>
          <t>https://www.miamidade.gov/transportation-publicworks/metrorail-stations.asp</t>
        </is>
      </c>
      <c r="Y52" s="6" t="inlineStr">
        <is>
          <t>https://www.google.com/maps/search/?api=1&amp;query=Government+Center+Station+101+NW+1st+St+Miami+FL</t>
        </is>
      </c>
      <c r="Z52" s="6" t="inlineStr">
        <is>
          <t>https://www.instagram.com/miamidadetransit/</t>
        </is>
      </c>
      <c r="AA52" s="6" t="inlineStr">
        <is>
          <t>transit@miamidade.gov</t>
        </is>
      </c>
      <c r="AB52" s="6" t="inlineStr">
        <is>
          <t>active</t>
        </is>
      </c>
      <c r="AC52" s="6" t="inlineStr">
        <is>
          <t>verified</t>
        </is>
      </c>
      <c r="AD52" s="11" t="inlineStr">
        <is>
          <t>Wikipedia (Government Center station (Miami)) + miamidade.gov + Yelp listing, checked 2026-07-07</t>
        </is>
      </c>
      <c r="AE52" s="6" t="inlineStr">
        <is>
          <t>2026-07-07</t>
        </is>
      </c>
      <c r="AF52" s="11" t="inlineStr">
        <is>
          <t>Intermodal Miami-Dade Transit hub (Metrorail + Metromover + Metrobus) in the Government Center district, opened 1984. Public transit facility, not a commercial venue. Decision maker: MDT Operations; contact: transit@miamidade.gov.</t>
        </is>
      </c>
      <c r="AG52" s="7">
        <f>AI52</f>
        <v/>
      </c>
      <c r="AH52" s="7">
        <f>AI52</f>
        <v/>
      </c>
      <c r="AI52" s="7">
        <f>IF(COUNTIF(Quests!$D$4:$D$65,A52)&gt;0,"Yes","No")</f>
        <v/>
      </c>
      <c r="AJ52" s="19">
        <f>IF(AND(AB52="active",AC52="verified",X52&lt;&gt;"",Y52&lt;&gt;"",Z52&lt;&gt;"",W52&lt;&gt;""),"Yes","No")</f>
        <v/>
      </c>
      <c r="AK52" s="7">
        <f>IF(OR(B52="manual_review",Z52="",X52="",AC52&lt;&gt;"verified"),"Yes","No")</f>
        <v/>
      </c>
    </row>
    <row r="53" ht="64" customHeight="1">
      <c r="A53" s="13" t="inlineStr">
        <is>
          <t>tea-room-east-miami</t>
        </is>
      </c>
      <c r="B53" s="13" t="inlineStr">
        <is>
          <t>import</t>
        </is>
      </c>
      <c r="C53" s="13" t="inlineStr">
        <is>
          <t>Tea Room</t>
        </is>
      </c>
      <c r="D53" s="13" t="inlineStr">
        <is>
          <t>Tea Room at EAST, Miami</t>
        </is>
      </c>
      <c r="E53" s="13" t="inlineStr">
        <is>
          <t>788 Brickell Plaza</t>
        </is>
      </c>
      <c r="F53" s="13" t="inlineStr">
        <is>
          <t>Miami</t>
        </is>
      </c>
      <c r="G53" s="13" t="inlineStr">
        <is>
          <t>FL</t>
        </is>
      </c>
      <c r="H53" s="13" t="inlineStr">
        <is>
          <t>33131</t>
        </is>
      </c>
      <c r="I53" s="13" t="inlineStr">
        <is>
          <t>Brickell</t>
        </is>
      </c>
      <c r="J53" s="14" t="n">
        <v>25.7666577</v>
      </c>
      <c r="K53" s="14" t="n">
        <v>-80.1927661</v>
      </c>
      <c r="L53" s="13" t="n"/>
      <c r="M53" s="13" t="inlineStr">
        <is>
          <t>Open Thu–Sat</t>
        </is>
      </c>
      <c r="N53" s="13" t="inlineStr">
        <is>
          <t>High Tea, Literally</t>
        </is>
      </c>
      <c r="O53" s="17" t="inlineStr">
        <is>
          <t>Forty floors above Brickell, open only Thursday through Saturday, hides an Asian-inspired cocktail lounge called the Tea Room. Part speakeasy, part skybox — all timing.</t>
        </is>
      </c>
      <c r="P53" s="13" t="inlineStr">
        <is>
          <t>nightlife</t>
        </is>
      </c>
      <c r="Q53" s="13" t="inlineStr">
        <is>
          <t>medium</t>
        </is>
      </c>
      <c r="R53" s="16" t="n">
        <v>150</v>
      </c>
      <c r="S53" s="16" t="n">
        <v>75</v>
      </c>
      <c r="T53" s="13" t="inlineStr">
        <is>
          <t>10–20 min</t>
        </is>
      </c>
      <c r="U53" s="17" t="inlineStr">
        <is>
          <t>On a Thursday, Friday or Saturday, ride up EAST Miami and find the Tea Room on the 40th floor. Capture your proof.</t>
        </is>
      </c>
      <c r="V53" s="13" t="inlineStr">
        <is>
          <t>Toast with pinkies out. It is a tea room, after all.</t>
        </is>
      </c>
      <c r="W53" s="13" t="n"/>
      <c r="X53" s="13" t="inlineStr">
        <is>
          <t>https://www.easthotels.com/en/miami/restaurants-and-bars/tea-room/</t>
        </is>
      </c>
      <c r="Y53" s="13" t="inlineStr">
        <is>
          <t>https://www.google.com/search?q=Tea+Room+EAST+Miami+788+Brickell+Plaza+reviews</t>
        </is>
      </c>
      <c r="Z53" s="13" t="inlineStr">
        <is>
          <t>https://www.instagram.com/tearoom.mia/</t>
        </is>
      </c>
      <c r="AA53" s="13" t="inlineStr">
        <is>
          <t>tearoom@easthotels.com</t>
        </is>
      </c>
      <c r="AB53" s="13" t="inlineStr">
        <is>
          <t>active</t>
        </is>
      </c>
      <c r="AC53" s="13" t="inlineStr">
        <is>
          <t>verified</t>
        </is>
      </c>
      <c r="AD53" s="17" t="inlineStr">
        <is>
          <t>EAST Hotels official site (easthotels.com) + Yelp/Tripadvisor listings, checked 2026-07-07</t>
        </is>
      </c>
      <c r="AE53" s="13" t="inlineStr">
        <is>
          <t>2026-07-07</t>
        </is>
      </c>
      <c r="AF53" s="17" t="inlineStr">
        <is>
          <t>Decision maker: Nightlife Director. Contact: tearoom@easthotels.com. Input Instagram handle @tearoomeast could not be verified/found; the active official Instagram handle is @tearoom.mia. 40th-floor Asian-inspired cocktail lounge/speakeasy atop EAST Miami hotel; open Thu-Sat per current hotel site.</t>
        </is>
      </c>
      <c r="AG53" s="7">
        <f>AI53</f>
        <v/>
      </c>
      <c r="AH53" s="7">
        <f>AI53</f>
        <v/>
      </c>
      <c r="AI53" s="7">
        <f>IF(COUNTIF(Quests!$D$4:$D$65,A53)&gt;0,"Yes","No")</f>
        <v/>
      </c>
      <c r="AJ53" s="19">
        <f>IF(AND(AB53="active",AC53="verified",X53&lt;&gt;"",Y53&lt;&gt;"",Z53&lt;&gt;"",W53&lt;&gt;""),"Yes","No")</f>
        <v/>
      </c>
      <c r="AK53" s="7">
        <f>IF(OR(B53="manual_review",Z53="",X53="",AC53&lt;&gt;"verified"),"Yes","No")</f>
        <v/>
      </c>
    </row>
    <row r="54" ht="64" customHeight="1">
      <c r="A54" s="6" t="inlineStr">
        <is>
          <t>the-kampong-coconut-grove</t>
        </is>
      </c>
      <c r="B54" s="6" t="inlineStr">
        <is>
          <t>import</t>
        </is>
      </c>
      <c r="C54" s="6" t="inlineStr">
        <is>
          <t>The Kampong</t>
        </is>
      </c>
      <c r="D54" s="6" t="inlineStr">
        <is>
          <t>The Kampong (National Tropical Botanical Garden)</t>
        </is>
      </c>
      <c r="E54" s="6" t="inlineStr">
        <is>
          <t>4013 S Douglas Rd</t>
        </is>
      </c>
      <c r="F54" s="6" t="inlineStr">
        <is>
          <t>Miami</t>
        </is>
      </c>
      <c r="G54" s="6" t="inlineStr">
        <is>
          <t>FL</t>
        </is>
      </c>
      <c r="H54" s="6" t="inlineStr">
        <is>
          <t>33133</t>
        </is>
      </c>
      <c r="I54" s="6" t="inlineStr">
        <is>
          <t>Coconut Grove</t>
        </is>
      </c>
      <c r="J54" s="8" t="n">
        <v>25.7152781</v>
      </c>
      <c r="K54" s="8" t="n">
        <v>-80.2503978</v>
      </c>
      <c r="L54" s="6" t="n"/>
      <c r="M54" s="6" t="n"/>
      <c r="N54" s="6" t="inlineStr">
        <is>
          <t>The Secret Garden of the Grove</t>
        </is>
      </c>
      <c r="O54" s="11" t="inlineStr">
        <is>
          <t>A historic Coconut Grove estate that became one of only five gardens in the National Tropical Botanical Garden network. Most of its cousins are in Hawaii; this one hides behind Douglas Road.</t>
        </is>
      </c>
      <c r="P54" s="6" t="inlineStr">
        <is>
          <t>outdoors</t>
        </is>
      </c>
      <c r="Q54" s="6" t="inlineStr">
        <is>
          <t>medium</t>
        </is>
      </c>
      <c r="R54" s="10" t="n">
        <v>150</v>
      </c>
      <c r="S54" s="10" t="n">
        <v>75</v>
      </c>
      <c r="T54" s="6" t="inlineStr">
        <is>
          <t>15–20 min</t>
        </is>
      </c>
      <c r="U54" s="11" t="inlineStr">
        <is>
          <t>Explore The Kampong's grounds and photograph the tree or plant that looks most like it escaped from a storybook.</t>
        </is>
      </c>
      <c r="V54" s="6" t="inlineStr">
        <is>
          <t>Learn one plant's name before you leave and formally introduce it to your group.</t>
        </is>
      </c>
      <c r="W54" s="6" t="n"/>
      <c r="X54" s="6" t="inlineStr">
        <is>
          <t>https://ntbg.org/gardens/kampong/</t>
        </is>
      </c>
      <c r="Y54" s="6" t="inlineStr">
        <is>
          <t>https://www.google.com/search?q=The+Kampong+4013+S+Douglas+Rd+Coconut+Grove+reviews</t>
        </is>
      </c>
      <c r="Z54" s="6" t="inlineStr">
        <is>
          <t>https://www.instagram.com/thekampong/</t>
        </is>
      </c>
      <c r="AA54" s="6" t="inlineStr">
        <is>
          <t>kampong@ntbg.org</t>
        </is>
      </c>
      <c r="AB54" s="6" t="inlineStr">
        <is>
          <t>active</t>
        </is>
      </c>
      <c r="AC54" s="6" t="inlineStr">
        <is>
          <t>verified</t>
        </is>
      </c>
      <c r="AD54" s="11" t="inlineStr">
        <is>
          <t>ntbg.org official site + Wikipedia + Apple Maps listing, checked 2026-07-07</t>
        </is>
      </c>
      <c r="AE54" s="6" t="inlineStr">
        <is>
          <t>2026-07-07</t>
        </is>
      </c>
      <c r="AF54" s="11" t="inlineStr">
        <is>
          <t>Decision maker: Garden Director. Contact: kampong@ntbg.org. One of five gardens of the National Tropical Botanical Garden; historic Fairchild/Sweeney estate. Coconut Grove is a neighborhood within the City of Miami (not a separate municipality).</t>
        </is>
      </c>
      <c r="AG54" s="7">
        <f>AI54</f>
        <v/>
      </c>
      <c r="AH54" s="7">
        <f>AI54</f>
        <v/>
      </c>
      <c r="AI54" s="7">
        <f>IF(COUNTIF(Quests!$D$4:$D$65,A54)&gt;0,"Yes","No")</f>
        <v/>
      </c>
      <c r="AJ54" s="19">
        <f>IF(AND(AB54="active",AC54="verified",X54&lt;&gt;"",Y54&lt;&gt;"",Z54&lt;&gt;"",W54&lt;&gt;""),"Yes","No")</f>
        <v/>
      </c>
      <c r="AK54" s="7">
        <f>IF(OR(B54="manual_review",Z54="",X54="",AC54&lt;&gt;"verified"),"Yes","No")</f>
        <v/>
      </c>
    </row>
    <row r="55" ht="124" customHeight="1">
      <c r="A55" s="13" t="inlineStr">
        <is>
          <t>miami-supercar-rooms</t>
        </is>
      </c>
      <c r="B55" s="13" t="inlineStr">
        <is>
          <t>manual_review</t>
        </is>
      </c>
      <c r="C55" s="13" t="inlineStr">
        <is>
          <t>Miami Supercar Rooms</t>
        </is>
      </c>
      <c r="D55" s="13" t="inlineStr">
        <is>
          <t>Miami Supercar Rooms</t>
        </is>
      </c>
      <c r="E55" s="13" t="inlineStr">
        <is>
          <t>2022 NW 1st Ct</t>
        </is>
      </c>
      <c r="F55" s="13" t="inlineStr">
        <is>
          <t>Miami</t>
        </is>
      </c>
      <c r="G55" s="13" t="inlineStr">
        <is>
          <t>FL</t>
        </is>
      </c>
      <c r="H55" s="13" t="inlineStr">
        <is>
          <t>33127</t>
        </is>
      </c>
      <c r="I55" s="13" t="inlineStr">
        <is>
          <t>Wynwood</t>
        </is>
      </c>
      <c r="J55" s="14" t="n">
        <v>25.7960064</v>
      </c>
      <c r="K55" s="14" t="n">
        <v>-80.1979564</v>
      </c>
      <c r="L55" s="13" t="n"/>
      <c r="M55" s="13" t="n"/>
      <c r="N55" s="13" t="n"/>
      <c r="O55" s="17" t="n"/>
      <c r="P55" s="13" t="n"/>
      <c r="Q55" s="13" t="n"/>
      <c r="R55" s="16" t="n"/>
      <c r="S55" s="16" t="n"/>
      <c r="T55" s="13" t="n"/>
      <c r="U55" s="17" t="n"/>
      <c r="V55" s="13" t="n"/>
      <c r="W55" s="13" t="n"/>
      <c r="X55" s="13" t="inlineStr">
        <is>
          <t>https://www.supercarrooms.com/</t>
        </is>
      </c>
      <c r="Y55" s="13" t="inlineStr">
        <is>
          <t>https://www.google.com/search?q=Miami+Supercar+Rooms+2022+NW+1st+Ct+reviews</t>
        </is>
      </c>
      <c r="Z55" s="13" t="inlineStr">
        <is>
          <t>https://www.instagram.com/supercarrooms/</t>
        </is>
      </c>
      <c r="AA55" s="13" t="inlineStr">
        <is>
          <t>info@supercarrooms.miami</t>
        </is>
      </c>
      <c r="AB55" s="13" t="inlineStr">
        <is>
          <t>active</t>
        </is>
      </c>
      <c r="AC55" s="13" t="inlineStr">
        <is>
          <t>verified</t>
        </is>
      </c>
      <c r="AD55" s="17" t="inlineStr">
        <is>
          <t>supercarrooms.com official site + Yelp (updated July 2026) + press coverage, checked 2026-07-07</t>
        </is>
      </c>
      <c r="AE55" s="13" t="inlineStr">
        <is>
          <t>2026-07-07</t>
        </is>
      </c>
      <c r="AF55" s="17" t="inlineStr">
        <is>
          <t>Workbook describes it as 'members-only' — conflicts with the quest rule that a first-time visitor must be able to complete a quest. Needs a partner conversation about public access before content is written. | Decision maker: Founder (Elo). Contact: info@supercarrooms.miami (unverified). Input website 'supercarrooms.miami' does not appear to be the primary domain; official site found is supercarrooms.com. World's first members-only Road Art Gallery / automotive event &amp; dining space in Wynwood, founded 2015 by British automotive collector 'Elo'. Yelp listing updated July 2026 confirms it is operating.</t>
        </is>
      </c>
      <c r="AG55" s="19">
        <f>AI55</f>
        <v/>
      </c>
      <c r="AH55" s="19">
        <f>AI55</f>
        <v/>
      </c>
      <c r="AI55" s="19">
        <f>IF(COUNTIF(Quests!$D$4:$D$65,A55)&gt;0,"Yes","No")</f>
        <v/>
      </c>
      <c r="AJ55" s="19">
        <f>IF(AND(AB55="active",AC55="verified",X55&lt;&gt;"",Y55&lt;&gt;"",Z55&lt;&gt;"",W55&lt;&gt;""),"Yes","No")</f>
        <v/>
      </c>
      <c r="AK55" s="19">
        <f>IF(OR(B55="manual_review",Z55="",X55="",AC55&lt;&gt;"verified"),"Yes","No")</f>
        <v/>
      </c>
    </row>
    <row r="56" ht="79" customHeight="1">
      <c r="A56" s="6" t="inlineStr">
        <is>
          <t>dale-zine-design-district</t>
        </is>
      </c>
      <c r="B56" s="6" t="inlineStr">
        <is>
          <t>import</t>
        </is>
      </c>
      <c r="C56" s="6" t="inlineStr">
        <is>
          <t>Dale Zine</t>
        </is>
      </c>
      <c r="D56" s="6" t="inlineStr">
        <is>
          <t>Dale Zine Shop</t>
        </is>
      </c>
      <c r="E56" s="6" t="inlineStr">
        <is>
          <t>50 NE 40th St</t>
        </is>
      </c>
      <c r="F56" s="6" t="inlineStr">
        <is>
          <t>Miami</t>
        </is>
      </c>
      <c r="G56" s="6" t="inlineStr">
        <is>
          <t>FL</t>
        </is>
      </c>
      <c r="H56" s="6" t="inlineStr">
        <is>
          <t>33137</t>
        </is>
      </c>
      <c r="I56" s="6" t="inlineStr">
        <is>
          <t>Design District</t>
        </is>
      </c>
      <c r="J56" s="8" t="n">
        <v>25.8132334</v>
      </c>
      <c r="K56" s="8" t="n">
        <v>-80.19449040000001</v>
      </c>
      <c r="L56" s="6" t="n"/>
      <c r="M56" s="6" t="n"/>
      <c r="N56" s="6" t="inlineStr">
        <is>
          <t>Small Press, Big Energy</t>
        </is>
      </c>
      <c r="O56" s="11" t="inlineStr">
        <is>
          <t>Miami's independent zine shop moved from Little River to the Design District in 2024, carrying its universe of small-press treasures with it. Every shelf is somebody's whole heart, photocopied.</t>
        </is>
      </c>
      <c r="P56" s="6" t="inlineStr">
        <is>
          <t>art</t>
        </is>
      </c>
      <c r="Q56" s="6" t="inlineStr">
        <is>
          <t>easy</t>
        </is>
      </c>
      <c r="R56" s="10" t="n">
        <v>50</v>
      </c>
      <c r="S56" s="10" t="n">
        <v>25</v>
      </c>
      <c r="T56" s="6" t="inlineStr">
        <is>
          <t>10–15 min</t>
        </is>
      </c>
      <c r="U56" s="11" t="inlineStr">
        <is>
          <t>Find Dale Zine's Design District home and browse until you find a zine you've never heard of. Photograph the cover.</t>
        </is>
      </c>
      <c r="V56" s="6" t="inlineStr">
        <is>
          <t>Greet the shop with a proper Miami 'dale!' on your way in.</t>
        </is>
      </c>
      <c r="W56" s="6" t="n"/>
      <c r="X56" s="6" t="inlineStr">
        <is>
          <t>https://dalezine.com/</t>
        </is>
      </c>
      <c r="Y56" s="6" t="inlineStr">
        <is>
          <t>https://www.google.com/search?q=Dale+Zine+50+NE+40th+St+Miami+reviews</t>
        </is>
      </c>
      <c r="Z56" s="6" t="inlineStr">
        <is>
          <t>https://www.instagram.com/dale_zine/</t>
        </is>
      </c>
      <c r="AA56" s="6" t="inlineStr">
        <is>
          <t>hello@dalezine.com</t>
        </is>
      </c>
      <c r="AB56" s="6" t="inlineStr">
        <is>
          <t>active</t>
        </is>
      </c>
      <c r="AC56" s="6" t="inlineStr">
        <is>
          <t>verified</t>
        </is>
      </c>
      <c r="AD56" s="11" t="inlineStr">
        <is>
          <t>Miami New Times (move coverage), Yelp, Miami Design District official listing, checked 2026-07-07</t>
        </is>
      </c>
      <c r="AE56" s="6" t="inlineStr">
        <is>
          <t>2026-07-07</t>
        </is>
      </c>
      <c r="AF56" s="11" t="inlineStr">
        <is>
          <t>Decision maker: Founder. Contact: hello@dalezine.com (unverified; press lists dalezine305@gmail.com as contact). IMPORTANT: Dale Zine relocated from its former Little River location (7395 NW Miami Pl) to the Miami Design District (50 NE 40th St) around January 2024. Input neighborhood 'Little River / Edge' is OUTDATED — current neighborhood is Design District.</t>
        </is>
      </c>
      <c r="AG56" s="7">
        <f>AI56</f>
        <v/>
      </c>
      <c r="AH56" s="7">
        <f>AI56</f>
        <v/>
      </c>
      <c r="AI56" s="7">
        <f>IF(COUNTIF(Quests!$D$4:$D$65,A56)&gt;0,"Yes","No")</f>
        <v/>
      </c>
      <c r="AJ56" s="19">
        <f>IF(AND(AB56="active",AC56="verified",X56&lt;&gt;"",Y56&lt;&gt;"",Z56&lt;&gt;"",W56&lt;&gt;""),"Yes","No")</f>
        <v/>
      </c>
      <c r="AK56" s="7">
        <f>IF(OR(B56="manual_review",Z56="",X56="",AC56&lt;&gt;"verified"),"Yes","No")</f>
        <v/>
      </c>
    </row>
    <row r="57" ht="79" customHeight="1">
      <c r="A57" s="13" t="inlineStr">
        <is>
          <t>naomis-garden-little-haiti</t>
        </is>
      </c>
      <c r="B57" s="13" t="inlineStr">
        <is>
          <t>import</t>
        </is>
      </c>
      <c r="C57" s="13" t="inlineStr">
        <is>
          <t>Naomi's Garden Restaurant &amp; Lounge</t>
        </is>
      </c>
      <c r="D57" s="13" t="inlineStr">
        <is>
          <t>Naomi's Garden Restaurant &amp; Lounge</t>
        </is>
      </c>
      <c r="E57" s="13" t="inlineStr">
        <is>
          <t>650 NW 71st St</t>
        </is>
      </c>
      <c r="F57" s="13" t="inlineStr">
        <is>
          <t>Miami</t>
        </is>
      </c>
      <c r="G57" s="13" t="inlineStr">
        <is>
          <t>FL</t>
        </is>
      </c>
      <c r="H57" s="13" t="inlineStr">
        <is>
          <t>33150</t>
        </is>
      </c>
      <c r="I57" s="13" t="inlineStr">
        <is>
          <t>Little Haiti</t>
        </is>
      </c>
      <c r="J57" s="14" t="n">
        <v>25.8395301</v>
      </c>
      <c r="K57" s="14" t="n">
        <v>-80.2079248</v>
      </c>
      <c r="L57" s="13" t="n"/>
      <c r="M57" s="13" t="n"/>
      <c r="N57" s="13" t="inlineStr">
        <is>
          <t>The Garden of Little Haiti</t>
        </is>
      </c>
      <c r="O57" s="17" t="inlineStr">
        <is>
          <t>A Little Haiti original with 'garden' right there in the name — the kind of neighborhood restaurant that grew a second location without losing its roots. Come find the original.</t>
        </is>
      </c>
      <c r="P57" s="13" t="inlineStr">
        <is>
          <t>food</t>
        </is>
      </c>
      <c r="Q57" s="13" t="inlineStr">
        <is>
          <t>easy</t>
        </is>
      </c>
      <c r="R57" s="16" t="n">
        <v>50</v>
      </c>
      <c r="S57" s="16" t="n">
        <v>25</v>
      </c>
      <c r="T57" s="13" t="inlineStr">
        <is>
          <t>10–15 min</t>
        </is>
      </c>
      <c r="U57" s="17" t="inlineStr">
        <is>
          <t>Find Naomi's Garden on NW 71st Street and photograph whatever earns the 'garden' in the name.</t>
        </is>
      </c>
      <c r="V57" s="13" t="inlineStr">
        <is>
          <t>Compliment the plants. Out loud. They've earned it.</t>
        </is>
      </c>
      <c r="W57" s="13" t="n"/>
      <c r="X57" s="13" t="inlineStr">
        <is>
          <t>https://naomismiami.com/</t>
        </is>
      </c>
      <c r="Y57" s="13" t="inlineStr">
        <is>
          <t>https://www.google.com/search?q=Naomi%27s+Garden+650+NW+71st+St+Miami+reviews</t>
        </is>
      </c>
      <c r="Z57" s="13" t="inlineStr">
        <is>
          <t>https://www.instagram.com/naomismiami/</t>
        </is>
      </c>
      <c r="AA57" s="13" t="inlineStr">
        <is>
          <t>naomisgardencafe@gmail.com</t>
        </is>
      </c>
      <c r="AB57" s="13" t="inlineStr">
        <is>
          <t>active</t>
        </is>
      </c>
      <c r="AC57" s="13" t="inlineStr">
        <is>
          <t>verified</t>
        </is>
      </c>
      <c r="AD57" s="17" t="inlineStr">
        <is>
          <t>naomismiami.com (via search snippets), Yelp, The Local Palate, checked 2026-07-07</t>
        </is>
      </c>
      <c r="AE57" s="13" t="inlineStr">
        <is>
          <t>2026-07-07</t>
        </is>
      </c>
      <c r="AF57" s="17" t="inlineStr">
        <is>
          <t>Decision maker: Owner. Contact: naomisgardencafe@gmail.com (unverified). Input website 'naomisgarden.com' does not appear to resolve to this business; the verified official site is naomismiami.com. A second location later opened in Sunset Harbour, Miami Beach (1755 Alton Rd), but the original/primary location referenced here is Little Haiti.</t>
        </is>
      </c>
      <c r="AG57" s="7">
        <f>AI57</f>
        <v/>
      </c>
      <c r="AH57" s="7">
        <f>AI57</f>
        <v/>
      </c>
      <c r="AI57" s="7">
        <f>IF(COUNTIF(Quests!$D$4:$D$65,A57)&gt;0,"Yes","No")</f>
        <v/>
      </c>
      <c r="AJ57" s="19">
        <f>IF(AND(AB57="active",AC57="verified",X57&lt;&gt;"",Y57&lt;&gt;"",Z57&lt;&gt;"",W57&lt;&gt;""),"Yes","No")</f>
        <v/>
      </c>
      <c r="AK57" s="7">
        <f>IF(OR(B57="manual_review",Z57="",X57="",AC57&lt;&gt;"verified"),"Yes","No")</f>
        <v/>
      </c>
    </row>
    <row r="58" ht="64" customHeight="1">
      <c r="A58" s="6" t="inlineStr">
        <is>
          <t>broken-shaker-miami-beach</t>
        </is>
      </c>
      <c r="B58" s="6" t="inlineStr">
        <is>
          <t>import</t>
        </is>
      </c>
      <c r="C58" s="6" t="inlineStr">
        <is>
          <t>Broken Shaker</t>
        </is>
      </c>
      <c r="D58" s="6" t="inlineStr">
        <is>
          <t>Broken Shaker at Freehand Miami</t>
        </is>
      </c>
      <c r="E58" s="6" t="inlineStr">
        <is>
          <t>2727 Indian Creek Dr</t>
        </is>
      </c>
      <c r="F58" s="6" t="inlineStr">
        <is>
          <t>Miami Beach</t>
        </is>
      </c>
      <c r="G58" s="6" t="inlineStr">
        <is>
          <t>FL</t>
        </is>
      </c>
      <c r="H58" s="6" t="inlineStr">
        <is>
          <t>33140</t>
        </is>
      </c>
      <c r="I58" s="6" t="inlineStr">
        <is>
          <t>South Beach</t>
        </is>
      </c>
      <c r="J58" s="8" t="n">
        <v>25.8045422</v>
      </c>
      <c r="K58" s="8" t="n">
        <v>-80.1263489</v>
      </c>
      <c r="L58" s="6" t="n"/>
      <c r="M58" s="6" t="n"/>
      <c r="N58" s="6" t="inlineStr">
        <is>
          <t>The Pop-Up That Stayed</t>
        </is>
      </c>
      <c r="O58" s="11" t="inlineStr">
        <is>
          <t>It started as a pop-up in 2012 inside the Freehand Miami — then earned a James Beard semifinalist nod and simply never left. Some experiments succeed so hard they become institutions.</t>
        </is>
      </c>
      <c r="P58" s="6" t="inlineStr">
        <is>
          <t>nightlife</t>
        </is>
      </c>
      <c r="Q58" s="6" t="inlineStr">
        <is>
          <t>medium</t>
        </is>
      </c>
      <c r="R58" s="10" t="n">
        <v>150</v>
      </c>
      <c r="S58" s="10" t="n">
        <v>75</v>
      </c>
      <c r="T58" s="6" t="inlineStr">
        <is>
          <t>15–20 min</t>
        </is>
      </c>
      <c r="U58" s="11" t="inlineStr">
        <is>
          <t>Find the Broken Shaker inside the Freehand and settle into the bar that refused to be temporary. Capture your spot.</t>
        </is>
      </c>
      <c r="V58" s="6" t="inlineStr">
        <is>
          <t>Raise a toast to every pop-up that outlived its own concept.</t>
        </is>
      </c>
      <c r="W58" s="6" t="n"/>
      <c r="X58" s="6" t="inlineStr">
        <is>
          <t>https://www.brokenshaker.com/location/miami-hours-and-location/</t>
        </is>
      </c>
      <c r="Y58" s="6" t="inlineStr">
        <is>
          <t>https://www.google.com/search?q=Broken+Shaker+2727+Indian+Creek+Dr+Miami+Beach+reviews</t>
        </is>
      </c>
      <c r="Z58" s="6" t="inlineStr">
        <is>
          <t>https://www.instagram.com/brokenshaker/</t>
        </is>
      </c>
      <c r="AA58" s="6" t="inlineStr">
        <is>
          <t>shaker.miami@freehandhotels.com</t>
        </is>
      </c>
      <c r="AB58" s="6" t="inlineStr">
        <is>
          <t>active</t>
        </is>
      </c>
      <c r="AC58" s="6" t="inlineStr">
        <is>
          <t>verified</t>
        </is>
      </c>
      <c r="AD58" s="11" t="inlineStr">
        <is>
          <t>freehandhotels.com + brokenshaker.com official sites, Yelp, checked 2026-07-07</t>
        </is>
      </c>
      <c r="AE58" s="6" t="inlineStr">
        <is>
          <t>2026-07-07</t>
        </is>
      </c>
      <c r="AF58" s="11" t="inlineStr">
        <is>
          <t>Decision maker: Bar GM. Contact: shaker.miami@freehandhotels.com. Original Miami location (started as 2012 pop-up) at Freehand Miami hotel; James Beard semifinalist. Note the address is on Indian Creek Dr near Mid-Beach, slightly north of the traditional 'South Beach/SoBe' core — sometimes categorized as 'Mid-Beach'.</t>
        </is>
      </c>
      <c r="AG58" s="7">
        <f>AI58</f>
        <v/>
      </c>
      <c r="AH58" s="7">
        <f>AI58</f>
        <v/>
      </c>
      <c r="AI58" s="7">
        <f>IF(COUNTIF(Quests!$D$4:$D$65,A58)&gt;0,"Yes","No")</f>
        <v/>
      </c>
      <c r="AJ58" s="19">
        <f>IF(AND(AB58="active",AC58="verified",X58&lt;&gt;"",Y58&lt;&gt;"",Z58&lt;&gt;"",W58&lt;&gt;""),"Yes","No")</f>
        <v/>
      </c>
      <c r="AK58" s="7">
        <f>IF(OR(B58="manual_review",Z58="",X58="",AC58&lt;&gt;"verified"),"Yes","No")</f>
        <v/>
      </c>
    </row>
    <row r="59" ht="49" customHeight="1">
      <c r="A59" s="13" t="inlineStr">
        <is>
          <t>macs-club-deuce</t>
        </is>
      </c>
      <c r="B59" s="13" t="inlineStr">
        <is>
          <t>import</t>
        </is>
      </c>
      <c r="C59" s="13" t="inlineStr">
        <is>
          <t>Mac's Club Deuce</t>
        </is>
      </c>
      <c r="D59" s="13" t="inlineStr">
        <is>
          <t>Mac's Club Deuce</t>
        </is>
      </c>
      <c r="E59" s="13" t="inlineStr">
        <is>
          <t>222 14th St</t>
        </is>
      </c>
      <c r="F59" s="13" t="inlineStr">
        <is>
          <t>Miami Beach</t>
        </is>
      </c>
      <c r="G59" s="13" t="inlineStr">
        <is>
          <t>FL</t>
        </is>
      </c>
      <c r="H59" s="13" t="inlineStr">
        <is>
          <t>33139</t>
        </is>
      </c>
      <c r="I59" s="13" t="inlineStr">
        <is>
          <t>South Beach</t>
        </is>
      </c>
      <c r="J59" s="14" t="n">
        <v>25.7852938</v>
      </c>
      <c r="K59" s="14" t="n">
        <v>-80.1314647</v>
      </c>
      <c r="L59" s="13" t="n"/>
      <c r="M59" s="13" t="n"/>
      <c r="N59" s="13" t="inlineStr">
        <is>
          <t>The Hundred-Year Dive</t>
        </is>
      </c>
      <c r="O59" s="17" t="inlineStr">
        <is>
          <t>Established 1926: Miami Beach's oldest bar turns one hundred this year. Cash only, no pretense, beloved by Anthony Bourdain — a century of South Beach history in one room.</t>
        </is>
      </c>
      <c r="P59" s="13" t="inlineStr">
        <is>
          <t>nightlife</t>
        </is>
      </c>
      <c r="Q59" s="13" t="inlineStr">
        <is>
          <t>medium</t>
        </is>
      </c>
      <c r="R59" s="16" t="n">
        <v>150</v>
      </c>
      <c r="S59" s="16" t="n">
        <v>75</v>
      </c>
      <c r="T59" s="13" t="inlineStr">
        <is>
          <t>10–15 min</t>
        </is>
      </c>
      <c r="U59" s="17" t="inlineStr">
        <is>
          <t>Step into Mac's Club Deuce and salute the century. Capture proof you stood in Miami's oldest bar. Bring cash — that's the house rule.</t>
        </is>
      </c>
      <c r="V59" s="13" t="inlineStr">
        <is>
          <t>Ask yourself what this room has seen in 100 years. Put your best guess in a Community Note.</t>
        </is>
      </c>
      <c r="W59" s="13" t="n"/>
      <c r="X59" s="13" t="inlineStr">
        <is>
          <t>https://www.macsclubdeuce.com/</t>
        </is>
      </c>
      <c r="Y59" s="13" t="inlineStr">
        <is>
          <t>https://www.google.com/search?q=Mac%27s+Club+Deuce+222+14th+St+Miami+Beach+reviews</t>
        </is>
      </c>
      <c r="Z59" s="13" t="inlineStr">
        <is>
          <t>https://www.instagram.com/macsclubdeuce/</t>
        </is>
      </c>
      <c r="AA59" s="13" t="inlineStr">
        <is>
          <t>macsclubdeuce@gmail.com</t>
        </is>
      </c>
      <c r="AB59" s="13" t="inlineStr">
        <is>
          <t>active</t>
        </is>
      </c>
      <c r="AC59" s="13" t="inlineStr">
        <is>
          <t>verified</t>
        </is>
      </c>
      <c r="AD59" s="17" t="inlineStr">
        <is>
          <t>macsclubdeuce.com official site + Yelp (updated July 2026) + Apple Maps, checked 2026-07-07</t>
        </is>
      </c>
      <c r="AE59" s="13" t="inlineStr">
        <is>
          <t>2026-07-07</t>
        </is>
      </c>
      <c r="AF59" s="17" t="inlineStr">
        <is>
          <t>Decision maker: Owner / Head Bartender. Contact: macsclubdeuce@gmail.com. Miami's oldest bar, established 1926, celebrating 100 years in 2026. Cash-only dive bar, an Anthony Bourdain favorite.</t>
        </is>
      </c>
      <c r="AG59" s="7">
        <f>AI59</f>
        <v/>
      </c>
      <c r="AH59" s="7">
        <f>AI59</f>
        <v/>
      </c>
      <c r="AI59" s="7">
        <f>IF(COUNTIF(Quests!$D$4:$D$65,A59)&gt;0,"Yes","No")</f>
        <v/>
      </c>
      <c r="AJ59" s="19">
        <f>IF(AND(AB59="active",AC59="verified",X59&lt;&gt;"",Y59&lt;&gt;"",Z59&lt;&gt;"",W59&lt;&gt;""),"Yes","No")</f>
        <v/>
      </c>
      <c r="AK59" s="7">
        <f>IF(OR(B59="manual_review",Z59="",X59="",AC59&lt;&gt;"verified"),"Yes","No")</f>
        <v/>
      </c>
    </row>
    <row r="60" ht="94" customHeight="1">
      <c r="A60" s="6" t="inlineStr">
        <is>
          <t>plant-the-future-little-river</t>
        </is>
      </c>
      <c r="B60" s="6" t="inlineStr">
        <is>
          <t>import</t>
        </is>
      </c>
      <c r="C60" s="6" t="inlineStr">
        <is>
          <t>Plant the Future</t>
        </is>
      </c>
      <c r="D60" s="6" t="inlineStr">
        <is>
          <t>Plant the Future</t>
        </is>
      </c>
      <c r="E60" s="6" t="inlineStr">
        <is>
          <t>8484 NE 2nd Ave</t>
        </is>
      </c>
      <c r="F60" s="6" t="inlineStr">
        <is>
          <t>Miami</t>
        </is>
      </c>
      <c r="G60" s="6" t="inlineStr">
        <is>
          <t>FL</t>
        </is>
      </c>
      <c r="H60" s="6" t="inlineStr">
        <is>
          <t>33138</t>
        </is>
      </c>
      <c r="I60" s="6" t="inlineStr">
        <is>
          <t>Little River</t>
        </is>
      </c>
      <c r="J60" s="8" t="n">
        <v>25.8531665</v>
      </c>
      <c r="K60" s="8" t="n">
        <v>-80.1933545</v>
      </c>
      <c r="L60" s="6" t="n"/>
      <c r="M60" s="6" t="n"/>
      <c r="N60" s="6" t="inlineStr">
        <is>
          <t>The Gas Station That Grew</t>
        </is>
      </c>
      <c r="O60" s="11" t="inlineStr">
        <is>
          <t>Artist Paloma Teppa turned a 1960s gas station on the banks of the Little River into a biophilic art studio and gallery. Where fuel pumps once stood, a small indoor jungle now runs the place.</t>
        </is>
      </c>
      <c r="P60" s="6" t="inlineStr">
        <is>
          <t>art</t>
        </is>
      </c>
      <c r="Q60" s="6" t="inlineStr">
        <is>
          <t>medium</t>
        </is>
      </c>
      <c r="R60" s="10" t="n">
        <v>150</v>
      </c>
      <c r="S60" s="10" t="n">
        <v>75</v>
      </c>
      <c r="T60" s="6" t="inlineStr">
        <is>
          <t>10–15 min</t>
        </is>
      </c>
      <c r="U60" s="11" t="inlineStr">
        <is>
          <t>Find the converted gas station on NE 2nd Ave and photograph the spot where art and plants blur together completely.</t>
        </is>
      </c>
      <c r="V60" s="6" t="inlineStr">
        <is>
          <t>Visually adopt one plant, name it, and record the adoption in your Community Note.</t>
        </is>
      </c>
      <c r="W60" s="6" t="n"/>
      <c r="X60" s="6" t="inlineStr">
        <is>
          <t>https://www.plantthefuture.com/</t>
        </is>
      </c>
      <c r="Y60" s="6" t="inlineStr">
        <is>
          <t>https://www.google.com/search?q=Plant+the+Future+8484+NE+2nd+Ave+Miami+reviews</t>
        </is>
      </c>
      <c r="Z60" s="6" t="inlineStr">
        <is>
          <t>https://www.instagram.com/plantthefuture/</t>
        </is>
      </c>
      <c r="AA60" s="6" t="inlineStr">
        <is>
          <t>info@plantthefuture.com</t>
        </is>
      </c>
      <c r="AB60" s="6" t="inlineStr">
        <is>
          <t>active</t>
        </is>
      </c>
      <c r="AC60" s="6" t="inlineStr">
        <is>
          <t>verified</t>
        </is>
      </c>
      <c r="AD60" s="11" t="inlineStr">
        <is>
          <t>plantthefuture.com official site, Yelp, 1 Hotels field guide, checked 2026-07-07</t>
        </is>
      </c>
      <c r="AE60" s="6" t="inlineStr">
        <is>
          <t>2026-07-07</t>
        </is>
      </c>
      <c r="AF60" s="11" t="inlineStr">
        <is>
          <t>Decision maker: Creative Dir. (Paloma). Contact: info@plantthefuture.com. Founded 2008 by Paloma Teppa (industrial designer/artist) in Wynwood, later relocated to Little River art district on the banks of the Little River (converted 1960s gas station). Biophilic art/design studio, gallery, and cafe. Input neighborhood 'Design District / Edge' is imprecise — the verified current neighborhood is Little River (adjacent to, but distinct from, the Design District).</t>
        </is>
      </c>
      <c r="AG60" s="7">
        <f>AI60</f>
        <v/>
      </c>
      <c r="AH60" s="7">
        <f>AI60</f>
        <v/>
      </c>
      <c r="AI60" s="7">
        <f>IF(COUNTIF(Quests!$D$4:$D$65,A60)&gt;0,"Yes","No")</f>
        <v/>
      </c>
      <c r="AJ60" s="19">
        <f>IF(AND(AB60="active",AC60="verified",X60&lt;&gt;"",Y60&lt;&gt;"",Z60&lt;&gt;"",W60&lt;&gt;""),"Yes","No")</f>
        <v/>
      </c>
      <c r="AK60" s="7">
        <f>IF(OR(B60="manual_review",Z60="",X60="",AC60&lt;&gt;"verified"),"Yes","No")</f>
        <v/>
      </c>
    </row>
    <row r="61" ht="64" customHeight="1">
      <c r="A61" s="13" t="inlineStr">
        <is>
          <t>coral-gables-congregational-church</t>
        </is>
      </c>
      <c r="B61" s="13" t="inlineStr">
        <is>
          <t>import</t>
        </is>
      </c>
      <c r="C61" s="13" t="inlineStr">
        <is>
          <t>Coral Gables Congregational United Church of Christ</t>
        </is>
      </c>
      <c r="D61" s="13" t="inlineStr">
        <is>
          <t>Coral Gables Congregational United Church of Christ</t>
        </is>
      </c>
      <c r="E61" s="13" t="inlineStr">
        <is>
          <t>3010 De Soto Blvd</t>
        </is>
      </c>
      <c r="F61" s="13" t="inlineStr">
        <is>
          <t>Coral Gables</t>
        </is>
      </c>
      <c r="G61" s="13" t="inlineStr">
        <is>
          <t>FL</t>
        </is>
      </c>
      <c r="H61" s="13" t="inlineStr">
        <is>
          <t>33134</t>
        </is>
      </c>
      <c r="I61" s="13" t="inlineStr">
        <is>
          <t>Coral Gables</t>
        </is>
      </c>
      <c r="J61" s="14" t="n">
        <v>25.7428751</v>
      </c>
      <c r="K61" s="14" t="n">
        <v>-80.27848899999999</v>
      </c>
      <c r="L61" s="13" t="n"/>
      <c r="M61" s="13" t="n"/>
      <c r="N61" s="13" t="inlineStr">
        <is>
          <t>The Landmark Across the Way</t>
        </is>
      </c>
      <c r="O61" s="17" t="inlineStr">
        <is>
          <t>A Mediterranean Revival landmark on the National Register of Historic Places, standing directly across from the Biltmore. One of Coral Gables' founding-era beauties — and most people drive right past it.</t>
        </is>
      </c>
      <c r="P61" s="13" t="inlineStr">
        <is>
          <t>culture</t>
        </is>
      </c>
      <c r="Q61" s="13" t="inlineStr">
        <is>
          <t>easy</t>
        </is>
      </c>
      <c r="R61" s="16" t="n">
        <v>50</v>
      </c>
      <c r="S61" s="16" t="n">
        <v>25</v>
      </c>
      <c r="T61" s="13" t="inlineStr">
        <is>
          <t>5–10 min</t>
        </is>
      </c>
      <c r="U61" s="17" t="inlineStr">
        <is>
          <t>Find the church on De Soto Blvd and photograph your favorite Mediterranean Revival detail of the building.</t>
        </is>
      </c>
      <c r="V61" s="13" t="inlineStr">
        <is>
          <t>Bonus challenge: frame the church and the Biltmore in a single shot.</t>
        </is>
      </c>
      <c r="W61" s="13" t="n"/>
      <c r="X61" s="13" t="inlineStr">
        <is>
          <t>https://gablesucc.org/</t>
        </is>
      </c>
      <c r="Y61" s="13" t="inlineStr">
        <is>
          <t>https://www.google.com/search?q=Coral+Gables+Congregational+Church+3010+De+Soto+Blvd+reviews</t>
        </is>
      </c>
      <c r="Z61" s="13" t="inlineStr">
        <is>
          <t>https://www.instagram.com/coralgablesucc/</t>
        </is>
      </c>
      <c r="AA61" s="13" t="inlineStr">
        <is>
          <t>info@gablesucc.org</t>
        </is>
      </c>
      <c r="AB61" s="13" t="inlineStr">
        <is>
          <t>active</t>
        </is>
      </c>
      <c r="AC61" s="13" t="inlineStr">
        <is>
          <t>verified</t>
        </is>
      </c>
      <c r="AD61" s="17" t="inlineStr">
        <is>
          <t>gablesucc.org official site, Yelp, Wikipedia, checked 2026-07-07</t>
        </is>
      </c>
      <c r="AE61" s="13" t="inlineStr">
        <is>
          <t>2026-07-07</t>
        </is>
      </c>
      <c r="AF61" s="17" t="inlineStr">
        <is>
          <t>Decision maker: Church Historian. Contact: info@gablesucc.org. Historic Mediterranean Revival church located directly across from the Biltmore Hotel; listed on National Register of Historic Places. Input Instagram handle '@gablesucc' could not be confirmed exactly — verified active account is '@coralgablesucc'.</t>
        </is>
      </c>
      <c r="AG61" s="7">
        <f>AI61</f>
        <v/>
      </c>
      <c r="AH61" s="7">
        <f>AI61</f>
        <v/>
      </c>
      <c r="AI61" s="7">
        <f>IF(COUNTIF(Quests!$D$4:$D$65,A61)&gt;0,"Yes","No")</f>
        <v/>
      </c>
      <c r="AJ61" s="19">
        <f>IF(AND(AB61="active",AC61="verified",X61&lt;&gt;"",Y61&lt;&gt;"",Z61&lt;&gt;"",W61&lt;&gt;""),"Yes","No")</f>
        <v/>
      </c>
      <c r="AK61" s="7">
        <f>IF(OR(B61="manual_review",Z61="",X61="",AC61&lt;&gt;"verified"),"Yes","No")</f>
        <v/>
      </c>
    </row>
    <row r="62" ht="139" customHeight="1">
      <c r="A62" s="6" t="inlineStr">
        <is>
          <t>miami-beach-boardwalk</t>
        </is>
      </c>
      <c r="B62" s="6" t="inlineStr">
        <is>
          <t>manual_review</t>
        </is>
      </c>
      <c r="C62" s="6" t="inlineStr">
        <is>
          <t>Miami Beach Boardwalk (Beachwalk)</t>
        </is>
      </c>
      <c r="D62" s="6" t="inlineStr">
        <is>
          <t>Miami Beach Boardwalk / Beachwalk - Mid-Beach Section</t>
        </is>
      </c>
      <c r="E62" s="6" t="n"/>
      <c r="F62" s="6" t="inlineStr">
        <is>
          <t>Miami Beach</t>
        </is>
      </c>
      <c r="G62" s="6" t="n"/>
      <c r="H62" s="6" t="n"/>
      <c r="I62" s="6" t="inlineStr">
        <is>
          <t>Mid-Beach</t>
        </is>
      </c>
      <c r="J62" s="8" t="n"/>
      <c r="K62" s="8" t="n"/>
      <c r="L62" s="6" t="n"/>
      <c r="M62" s="6" t="n"/>
      <c r="N62" s="6" t="n"/>
      <c r="O62" s="11" t="n"/>
      <c r="P62" s="6" t="n"/>
      <c r="Q62" s="6" t="n"/>
      <c r="R62" s="10" t="n"/>
      <c r="S62" s="10" t="n"/>
      <c r="T62" s="6" t="n"/>
      <c r="U62" s="11" t="n"/>
      <c r="V62" s="6" t="n"/>
      <c r="W62" s="6" t="n"/>
      <c r="X62" s="6" t="inlineStr">
        <is>
          <t>https://www.miamibeachfl.gov/city-hall/parks-and-recreation/parks-facilities-directory/beachwalk/</t>
        </is>
      </c>
      <c r="Y62" s="6" t="inlineStr">
        <is>
          <t>https://www.google.com/search?q=Miami+Beach+Boardwalk+Mid+Beach+reviews</t>
        </is>
      </c>
      <c r="Z62" s="6" t="n"/>
      <c r="AA62" s="6" t="inlineStr">
        <is>
          <t>parks@miamibeachfl.gov</t>
        </is>
      </c>
      <c r="AB62" s="6" t="inlineStr">
        <is>
          <t>active</t>
        </is>
      </c>
      <c r="AC62" s="6" t="inlineStr">
        <is>
          <t>verified</t>
        </is>
      </c>
      <c r="AD62" s="11" t="inlineStr">
        <is>
          <t>City of Miami Beach Parks &amp; Recreation official page + multiple travel guides, checked 2026-07-07</t>
        </is>
      </c>
      <c r="AE62" s="6" t="inlineStr">
        <is>
          <t>2026-07-07</t>
        </is>
      </c>
      <c r="AF62" s="11" t="inlineStr">
        <is>
          <t>Row has no street address or coordinates, and the workbook's own note says not to invent one. A linear path needs an anchor point (e.g. a specific entrance) chosen by ops before it can be imported. | Decision maker: Environmental Liaison. Contact: parks@miamibeachfl.gov. This is a public oceanfront path (the 'Beachwalk', formerly a wooden boardwalk) running roughly from 23rd St to 46th St through Mid-Beach, past the Faena, Edition, and Fontainebleau; rebuilt/completed as a wider ADA-accessible paver path in June 2022 and still in active public use. It is a linear public amenity, not a single-address business, so no street address/coordinates were assigned -- do not invent one.</t>
        </is>
      </c>
      <c r="AG62" s="19">
        <f>AI62</f>
        <v/>
      </c>
      <c r="AH62" s="19">
        <f>AI62</f>
        <v/>
      </c>
      <c r="AI62" s="19">
        <f>IF(COUNTIF(Quests!$D$4:$D$65,A62)&gt;0,"Yes","No")</f>
        <v/>
      </c>
      <c r="AJ62" s="19">
        <f>IF(AND(AB62="active",AC62="verified",X62&lt;&gt;"",Y62&lt;&gt;"",Z62&lt;&gt;"",W62&lt;&gt;""),"Yes","No")</f>
        <v/>
      </c>
      <c r="AK62" s="19">
        <f>IF(OR(B62="manual_review",Z62="",X62="",AC62&lt;&gt;"verified"),"Yes","No")</f>
        <v/>
      </c>
    </row>
    <row r="63" ht="49" customHeight="1">
      <c r="A63" s="13" t="inlineStr">
        <is>
          <t>over-under-downtown</t>
        </is>
      </c>
      <c r="B63" s="13" t="inlineStr">
        <is>
          <t>import</t>
        </is>
      </c>
      <c r="C63" s="13" t="inlineStr">
        <is>
          <t>Over Under</t>
        </is>
      </c>
      <c r="D63" s="13" t="inlineStr">
        <is>
          <t>Over Under</t>
        </is>
      </c>
      <c r="E63" s="13" t="inlineStr">
        <is>
          <t>151 E Flagler St</t>
        </is>
      </c>
      <c r="F63" s="13" t="inlineStr">
        <is>
          <t>Miami</t>
        </is>
      </c>
      <c r="G63" s="13" t="inlineStr">
        <is>
          <t>FL</t>
        </is>
      </c>
      <c r="H63" s="13" t="inlineStr">
        <is>
          <t>33131</t>
        </is>
      </c>
      <c r="I63" s="13" t="inlineStr">
        <is>
          <t>Downtown Miami</t>
        </is>
      </c>
      <c r="J63" s="14" t="n">
        <v>25.774428</v>
      </c>
      <c r="K63" s="14" t="n">
        <v>-80.19088499999999</v>
      </c>
      <c r="L63" s="13" t="n"/>
      <c r="M63" s="13" t="n"/>
      <c r="N63" s="13" t="inlineStr">
        <is>
          <t>Flagler Street Revival</t>
        </is>
      </c>
      <c r="O63" s="17" t="inlineStr">
        <is>
          <t>A cocktail bar and gastropub inside the historic Alfred I. duPont Building, where old Flagler Street grandeur meets new Downtown energy. The name is a question; the room is the answer.</t>
        </is>
      </c>
      <c r="P63" s="13" t="inlineStr">
        <is>
          <t>nightlife</t>
        </is>
      </c>
      <c r="Q63" s="13" t="inlineStr">
        <is>
          <t>medium</t>
        </is>
      </c>
      <c r="R63" s="16" t="n">
        <v>150</v>
      </c>
      <c r="S63" s="16" t="n">
        <v>75</v>
      </c>
      <c r="T63" s="13" t="inlineStr">
        <is>
          <t>10–15 min</t>
        </is>
      </c>
      <c r="U63" s="17" t="inlineStr">
        <is>
          <t>Find Over Under on E Flagler Street and capture where the historic building meets the modern bar.</t>
        </is>
      </c>
      <c r="V63" s="13" t="inlineStr">
        <is>
          <t>Debate with your group: is the name about drinks, sports bets, or the building? Pick a side and die on it.</t>
        </is>
      </c>
      <c r="W63" s="13" t="n"/>
      <c r="X63" s="13" t="inlineStr">
        <is>
          <t>https://overundermiami.com/</t>
        </is>
      </c>
      <c r="Y63" s="13" t="inlineStr">
        <is>
          <t>https://www.google.com/search?q=Over+Under+Miami+151+E+Flagler+St+reviews</t>
        </is>
      </c>
      <c r="Z63" s="13" t="inlineStr">
        <is>
          <t>https://www.instagram.com/overundermiami/</t>
        </is>
      </c>
      <c r="AA63" s="13" t="inlineStr">
        <is>
          <t>hello@overundermiami.com</t>
        </is>
      </c>
      <c r="AB63" s="13" t="inlineStr">
        <is>
          <t>active</t>
        </is>
      </c>
      <c r="AC63" s="13" t="inlineStr">
        <is>
          <t>verified</t>
        </is>
      </c>
      <c r="AD63" s="17" t="inlineStr">
        <is>
          <t>Official site overundermiami.com + Yelp/Google Maps listing (151 E Flagler St), checked 2026-07-07</t>
        </is>
      </c>
      <c r="AE63" s="13" t="inlineStr">
        <is>
          <t>2026-07-07</t>
        </is>
      </c>
      <c r="AF63" s="17" t="inlineStr">
        <is>
          <t>Decision maker: Head Chef / Owner. Contact: hello@overundermiami.com. Cocktail bar and gastropub in the historic Alfred I. duPont Building, Downtown Miami. Confirmed active with current hours via multiple 2026-updated review sites.</t>
        </is>
      </c>
      <c r="AG63" s="7">
        <f>AI63</f>
        <v/>
      </c>
      <c r="AH63" s="7">
        <f>AI63</f>
        <v/>
      </c>
      <c r="AI63" s="7">
        <f>IF(COUNTIF(Quests!$D$4:$D$65,A63)&gt;0,"Yes","No")</f>
        <v/>
      </c>
      <c r="AJ63" s="19">
        <f>IF(AND(AB63="active",AC63="verified",X63&lt;&gt;"",Y63&lt;&gt;"",Z63&lt;&gt;"",W63&lt;&gt;""),"Yes","No")</f>
        <v/>
      </c>
      <c r="AK63" s="7">
        <f>IF(OR(B63="manual_review",Z63="",X63="",AC63&lt;&gt;"verified"),"Yes","No")</f>
        <v/>
      </c>
    </row>
    <row r="64" ht="124" customHeight="1">
      <c r="A64" s="6" t="inlineStr">
        <is>
          <t>lost-boy-dry-goods</t>
        </is>
      </c>
      <c r="B64" s="6" t="inlineStr">
        <is>
          <t>import</t>
        </is>
      </c>
      <c r="C64" s="6" t="inlineStr">
        <is>
          <t>Lost Boy &amp; Co.</t>
        </is>
      </c>
      <c r="D64" s="6" t="inlineStr">
        <is>
          <t>Lost Boy Dry Goods</t>
        </is>
      </c>
      <c r="E64" s="6" t="inlineStr">
        <is>
          <t>157 E Flagler St</t>
        </is>
      </c>
      <c r="F64" s="6" t="inlineStr">
        <is>
          <t>Miami</t>
        </is>
      </c>
      <c r="G64" s="6" t="inlineStr">
        <is>
          <t>FL</t>
        </is>
      </c>
      <c r="H64" s="6" t="inlineStr">
        <is>
          <t>33131</t>
        </is>
      </c>
      <c r="I64" s="6" t="inlineStr">
        <is>
          <t>Downtown Miami</t>
        </is>
      </c>
      <c r="J64" s="8" t="n">
        <v>25.7743673</v>
      </c>
      <c r="K64" s="8" t="n">
        <v>-80.1907341</v>
      </c>
      <c r="L64" s="6" t="n"/>
      <c r="M64" s="6" t="n"/>
      <c r="N64" s="6" t="inlineStr">
        <is>
          <t>Get Lost Downtown</t>
        </is>
      </c>
      <c r="O64" s="11" t="inlineStr">
        <is>
          <t>An English-pub-style bar that opened in 2018 inside the Alfred I. duPont Building — 'Lost Boy Dry Goods,' a pub wearing a general store's name on historic Flagler Street. Getting lost here is the point.</t>
        </is>
      </c>
      <c r="P64" s="6" t="inlineStr">
        <is>
          <t>nightlife</t>
        </is>
      </c>
      <c r="Q64" s="6" t="inlineStr">
        <is>
          <t>medium</t>
        </is>
      </c>
      <c r="R64" s="10" t="n">
        <v>150</v>
      </c>
      <c r="S64" s="10" t="n">
        <v>75</v>
      </c>
      <c r="T64" s="6" t="inlineStr">
        <is>
          <t>10–15 min</t>
        </is>
      </c>
      <c r="U64" s="11" t="inlineStr">
        <is>
          <t>Find Lost Boy Dry Goods on E Flagler Street and photograph the most un-pub-like detail of this very English pub.</t>
        </is>
      </c>
      <c r="V64" s="6" t="inlineStr">
        <is>
          <t>Declare yourself officially lost upon entry — and found by the time you leave.</t>
        </is>
      </c>
      <c r="W64" s="6" t="n"/>
      <c r="X64" s="6" t="inlineStr">
        <is>
          <t>https://www.lostboydrygoods.com/</t>
        </is>
      </c>
      <c r="Y64" s="6" t="inlineStr">
        <is>
          <t>https://www.google.com/search?q=Lost+Boy+Dry+Goods+Miami+157+E+Flagler+St+reviews</t>
        </is>
      </c>
      <c r="Z64" s="6" t="inlineStr">
        <is>
          <t>https://www.instagram.com/lostboydrygoods/</t>
        </is>
      </c>
      <c r="AA64" s="6" t="inlineStr">
        <is>
          <t>info@lostboyandco.com</t>
        </is>
      </c>
      <c r="AB64" s="6" t="inlineStr">
        <is>
          <t>active</t>
        </is>
      </c>
      <c r="AC64" s="6" t="inlineStr">
        <is>
          <t>verified</t>
        </is>
      </c>
      <c r="AD64" s="11" t="inlineStr">
        <is>
          <t>lostboydrygoods.com official site + wearealllost.com group site + Apple Maps listing, checked 2026-07-07</t>
        </is>
      </c>
      <c r="AE64" s="6" t="inlineStr">
        <is>
          <t>2026-07-07</t>
        </is>
      </c>
      <c r="AF64" s="11" t="inlineStr">
        <is>
          <t>Decision maker: Operator. Contact: info@lostboyandco.com. 'Lost Boy &amp; Co.' is the parent hospitality group (founded by Chris Hudnall and Randy Alonso, official group site wearealllost.com); the actual English-pub-style bar in Downtown Miami is 'Lost Boy Dry Goods' at 157 E Flagler St (opened 2018, in the Alfred I. duPont Building). Input website 'lostboyandco.com' and Instagram handle '@lostboymiami' did not resolve to a live matching page -- corrected here to lostboydrygoods.com and @lostboydrygoods, the venue's actual live site/handle. Group is actively expanding as of July 2026 (public investment round announced).</t>
        </is>
      </c>
      <c r="AG64" s="7">
        <f>AI64</f>
        <v/>
      </c>
      <c r="AH64" s="7">
        <f>AI64</f>
        <v/>
      </c>
      <c r="AI64" s="7">
        <f>IF(COUNTIF(Quests!$D$4:$D$65,A64)&gt;0,"Yes","No")</f>
        <v/>
      </c>
      <c r="AJ64" s="19">
        <f>IF(AND(AB64="active",AC64="verified",X64&lt;&gt;"",Y64&lt;&gt;"",Z64&lt;&gt;"",W64&lt;&gt;""),"Yes","No")</f>
        <v/>
      </c>
      <c r="AK64" s="7">
        <f>IF(OR(B64="manual_review",Z64="",X64="",AC64&lt;&gt;"verified"),"Yes","No")</f>
        <v/>
      </c>
    </row>
    <row r="65" ht="94" customHeight="1">
      <c r="A65" s="13" t="inlineStr">
        <is>
          <t>fairchild-tropical-garden</t>
        </is>
      </c>
      <c r="B65" s="13" t="inlineStr">
        <is>
          <t>import</t>
        </is>
      </c>
      <c r="C65" s="13" t="inlineStr">
        <is>
          <t>Fairchild Tropical Botanic Garden</t>
        </is>
      </c>
      <c r="D65" s="13" t="inlineStr">
        <is>
          <t>Richard H. Simons Rainforest at Fairchild Tropical Botanic Garden</t>
        </is>
      </c>
      <c r="E65" s="13" t="inlineStr">
        <is>
          <t>10901 Old Cutler Rd</t>
        </is>
      </c>
      <c r="F65" s="13" t="inlineStr">
        <is>
          <t>Coral Gables</t>
        </is>
      </c>
      <c r="G65" s="13" t="inlineStr">
        <is>
          <t>FL</t>
        </is>
      </c>
      <c r="H65" s="13" t="inlineStr">
        <is>
          <t>33156</t>
        </is>
      </c>
      <c r="I65" s="13" t="inlineStr">
        <is>
          <t>Coral Gables</t>
        </is>
      </c>
      <c r="J65" s="14" t="n">
        <v>25.676931</v>
      </c>
      <c r="K65" s="14" t="n">
        <v>-80.272789</v>
      </c>
      <c r="L65" s="13" t="n"/>
      <c r="M65" s="13" t="n"/>
      <c r="N65" s="13" t="inlineStr">
        <is>
          <t>Rainforest Within the Garden</t>
        </is>
      </c>
      <c r="O65" s="17" t="inlineStr">
        <is>
          <t>Inside Fairchild's 83 acres hides the Richard H. Simons Rainforest — two acres of canopy, streams and a waterfall, growing since 2001. A rainforest, inside a garden, inside Miami.</t>
        </is>
      </c>
      <c r="P65" s="13" t="inlineStr">
        <is>
          <t>outdoors</t>
        </is>
      </c>
      <c r="Q65" s="13" t="inlineStr">
        <is>
          <t>medium</t>
        </is>
      </c>
      <c r="R65" s="16" t="n">
        <v>150</v>
      </c>
      <c r="S65" s="16" t="n">
        <v>75</v>
      </c>
      <c r="T65" s="13" t="inlineStr">
        <is>
          <t>15–20 min</t>
        </is>
      </c>
      <c r="U65" s="17" t="inlineStr">
        <is>
          <t>Find the Simons Rainforest inside Fairchild and photograph the waterfall tucked within it.</t>
        </is>
      </c>
      <c r="V65" s="13" t="inlineStr">
        <is>
          <t>Narrate what you see in your best nature-documentary whisper.</t>
        </is>
      </c>
      <c r="W65" s="13" t="n"/>
      <c r="X65" s="13" t="inlineStr">
        <is>
          <t>https://fairchildgarden.org/</t>
        </is>
      </c>
      <c r="Y65" s="13" t="inlineStr">
        <is>
          <t>https://www.google.com/search?q=Fairchild+Tropical+Botanic+Garden+reviews</t>
        </is>
      </c>
      <c r="Z65" s="13" t="inlineStr">
        <is>
          <t>https://www.instagram.com/fairchildgarden/</t>
        </is>
      </c>
      <c r="AA65" s="13" t="inlineStr">
        <is>
          <t>info@fairchildgarden.org</t>
        </is>
      </c>
      <c r="AB65" s="13" t="inlineStr">
        <is>
          <t>active</t>
        </is>
      </c>
      <c r="AC65" s="13" t="inlineStr">
        <is>
          <t>verified</t>
        </is>
      </c>
      <c r="AD65" s="17" t="inlineStr">
        <is>
          <t>fairchildgarden.org official site + Wikipedia + 2026-updated Yelp listing, checked 2026-07-07</t>
        </is>
      </c>
      <c r="AE65" s="13" t="inlineStr">
        <is>
          <t>2026-07-07</t>
        </is>
      </c>
      <c r="AF65" s="17" t="inlineStr">
        <is>
          <t>Decision maker: Botanical Lead. Contact: info@fairchildgarden.org. The 'rainforest' is a two-acre exhibit (the Richard H. Simons Rainforest, opened 2001, with a 500-ft waterfall) within the larger 83-acre Fairchild Tropical Botanic Garden. Address is technically in unincorporated Miami-Dade / Coral Gables postal area (input labeled 'Coral Gables Edge'); normalized to Coral Gables. Confirmed actively operating with 2026-dated reviews.</t>
        </is>
      </c>
      <c r="AG65" s="7">
        <f>AI65</f>
        <v/>
      </c>
      <c r="AH65" s="7">
        <f>AI65</f>
        <v/>
      </c>
      <c r="AI65" s="7">
        <f>IF(COUNTIF(Quests!$D$4:$D$65,A65)&gt;0,"Yes","No")</f>
        <v/>
      </c>
      <c r="AJ65" s="19">
        <f>IF(AND(AB65="active",AC65="verified",X65&lt;&gt;"",Y65&lt;&gt;"",Z65&lt;&gt;"",W65&lt;&gt;""),"Yes","No")</f>
        <v/>
      </c>
      <c r="AK65" s="7">
        <f>IF(OR(B65="manual_review",Z65="",X65="",AC65&lt;&gt;"verified"),"Yes","No")</f>
        <v/>
      </c>
    </row>
    <row r="66" ht="64" customHeight="1">
      <c r="A66" s="6" t="inlineStr">
        <is>
          <t>bodega-taqueria-south-beach</t>
        </is>
      </c>
      <c r="B66" s="6" t="inlineStr">
        <is>
          <t>import</t>
        </is>
      </c>
      <c r="C66" s="6" t="inlineStr">
        <is>
          <t>Bodega Taqueria y Tequila</t>
        </is>
      </c>
      <c r="D66" s="6" t="inlineStr">
        <is>
          <t>Bodega Taqueria y Tequila South Beach (Hidden Speakeasy)</t>
        </is>
      </c>
      <c r="E66" s="6" t="inlineStr">
        <is>
          <t>1220 16th St</t>
        </is>
      </c>
      <c r="F66" s="6" t="inlineStr">
        <is>
          <t>Miami Beach</t>
        </is>
      </c>
      <c r="G66" s="6" t="inlineStr">
        <is>
          <t>FL</t>
        </is>
      </c>
      <c r="H66" s="6" t="inlineStr">
        <is>
          <t>33139</t>
        </is>
      </c>
      <c r="I66" s="6" t="inlineStr">
        <is>
          <t>South Beach</t>
        </is>
      </c>
      <c r="J66" s="8" t="n">
        <v>25.7887693</v>
      </c>
      <c r="K66" s="8" t="n">
        <v>-80.1416261</v>
      </c>
      <c r="L66" s="6" t="n"/>
      <c r="M66" s="6" t="inlineStr">
        <is>
          <t>Open daily</t>
        </is>
      </c>
      <c r="N66" s="6" t="inlineStr">
        <is>
          <t>The Porta-Potty Portal</t>
        </is>
      </c>
      <c r="O66" s="11" t="inlineStr">
        <is>
          <t>By day it reads as a taqueria. But since 2014, South Beach regulars have known the truth: somewhere inside stands a fake porta-potty door, and behind it, a hidden bar. Yes, really. No, not a real porta-potty. Go find it.</t>
        </is>
      </c>
      <c r="P66" s="6" t="inlineStr">
        <is>
          <t>hidden_gem</t>
        </is>
      </c>
      <c r="Q66" s="6" t="inlineStr">
        <is>
          <t>medium</t>
        </is>
      </c>
      <c r="R66" s="10" t="n">
        <v>150</v>
      </c>
      <c r="S66" s="10" t="n">
        <v>75</v>
      </c>
      <c r="T66" s="6" t="inlineStr">
        <is>
          <t>10–15 min</t>
        </is>
      </c>
      <c r="U66" s="11" t="inlineStr">
        <is>
          <t>Find the fake porta-potty door inside Bodega and discover what's behind it. Photograph the door — leave what's beyond it a mystery.</t>
        </is>
      </c>
      <c r="V66" s="6" t="inlineStr">
        <is>
          <t>Walk in acting completely casual. Fail completely.</t>
        </is>
      </c>
      <c r="W66" s="6" t="n"/>
      <c r="X66" s="6" t="inlineStr">
        <is>
          <t>https://www.bodegataqueria.com/location/southbeach/</t>
        </is>
      </c>
      <c r="Y66" s="6" t="inlineStr">
        <is>
          <t>https://www.google.com/search?q=Bodega+Taqueria+y+Tequila+South+Beach+reviews</t>
        </is>
      </c>
      <c r="Z66" s="6" t="inlineStr">
        <is>
          <t>https://www.instagram.com/bodegataqueria/</t>
        </is>
      </c>
      <c r="AA66" s="6" t="inlineStr">
        <is>
          <t>info@bodegataqueria.com</t>
        </is>
      </c>
      <c r="AB66" s="6" t="inlineStr">
        <is>
          <t>active</t>
        </is>
      </c>
      <c r="AC66" s="6" t="inlineStr">
        <is>
          <t>verified</t>
        </is>
      </c>
      <c r="AD66" s="11" t="inlineStr">
        <is>
          <t>bodegataqueria.com official site + Digest Miami feature + Tripadvisor/Yelp listings, checked 2026-07-07</t>
        </is>
      </c>
      <c r="AE66" s="6" t="inlineStr">
        <is>
          <t>2026-07-07</t>
        </is>
      </c>
      <c r="AF66" s="11" t="inlineStr">
        <is>
          <t>Decision maker: Security Lead. Contact: info@bodegataqueria.com. Bodega Taqueria y Tequila's South Beach flagship (open since Dec 2014) contains a well-documented hidden speakeasy bar accessed through a fake porta-potty door, confirmed via press coverage (Digest Miami) and Tripadvisor reviews. Active and open daily.</t>
        </is>
      </c>
      <c r="AG66" s="7">
        <f>AI66</f>
        <v/>
      </c>
      <c r="AH66" s="7">
        <f>AI66</f>
        <v/>
      </c>
      <c r="AI66" s="7">
        <f>IF(COUNTIF(Quests!$D$4:$D$65,A66)&gt;0,"Yes","No")</f>
        <v/>
      </c>
      <c r="AJ66" s="19">
        <f>IF(AND(AB66="active",AC66="verified",X66&lt;&gt;"",Y66&lt;&gt;"",Z66&lt;&gt;"",W66&lt;&gt;""),"Yes","No")</f>
        <v/>
      </c>
      <c r="AK66" s="7">
        <f>IF(OR(B66="manual_review",Z66="",X66="",AC66&lt;&gt;"verified"),"Yes","No")</f>
        <v/>
      </c>
    </row>
    <row r="67" ht="124" customHeight="1">
      <c r="A67" s="13" t="inlineStr">
        <is>
          <t>miami-circle-brickell</t>
        </is>
      </c>
      <c r="B67" s="13" t="inlineStr">
        <is>
          <t>import</t>
        </is>
      </c>
      <c r="C67" s="13" t="inlineStr">
        <is>
          <t>Miami Circle at Brickell Point</t>
        </is>
      </c>
      <c r="D67" s="13" t="inlineStr">
        <is>
          <t>Miami Circle Park</t>
        </is>
      </c>
      <c r="E67" s="13" t="inlineStr">
        <is>
          <t>401 Brickell Ave</t>
        </is>
      </c>
      <c r="F67" s="13" t="inlineStr">
        <is>
          <t>Miami</t>
        </is>
      </c>
      <c r="G67" s="13" t="inlineStr">
        <is>
          <t>FL</t>
        </is>
      </c>
      <c r="H67" s="13" t="inlineStr">
        <is>
          <t>33131</t>
        </is>
      </c>
      <c r="I67" s="13" t="inlineStr">
        <is>
          <t>Brickell</t>
        </is>
      </c>
      <c r="J67" s="14" t="n">
        <v>25.769381</v>
      </c>
      <c r="K67" s="14" t="n">
        <v>-80.189919</v>
      </c>
      <c r="L67" s="13" t="n"/>
      <c r="M67" s="13" t="n"/>
      <c r="N67" s="13" t="inlineStr">
        <is>
          <t>The 2,000-Year-Old Circle</t>
        </is>
      </c>
      <c r="O67" s="17" t="inlineStr">
        <is>
          <t>In 1998, construction at the mouth of the Miami River uncovered a perfect circle of ancient postholes — a Tequesta site up to 2,700 years old. Skyscrapers rose around it; the circle stayed. It's now a public park on the Riverwalk.</t>
        </is>
      </c>
      <c r="P67" s="13" t="inlineStr">
        <is>
          <t>culture</t>
        </is>
      </c>
      <c r="Q67" s="13" t="inlineStr">
        <is>
          <t>easy</t>
        </is>
      </c>
      <c r="R67" s="16" t="n">
        <v>50</v>
      </c>
      <c r="S67" s="16" t="n">
        <v>25</v>
      </c>
      <c r="T67" s="13" t="inlineStr">
        <is>
          <t>10–15 min</t>
        </is>
      </c>
      <c r="U67" s="17" t="inlineStr">
        <is>
          <t>Walk the Riverwalk to Brickell Point and find the Miami Circle. Photograph where the city's oldest story meets its newest skyline.</t>
        </is>
      </c>
      <c r="V67" s="13" t="inlineStr">
        <is>
          <t>Turn one slow, full 360° where you stand — one circle for the Circle.</t>
        </is>
      </c>
      <c r="W67" s="13" t="n"/>
      <c r="X67" s="13" t="inlineStr">
        <is>
          <t>https://dos.fl.gov/historical/archaeology/projects/miami-circle/</t>
        </is>
      </c>
      <c r="Y67" s="13" t="inlineStr">
        <is>
          <t>https://www.google.com/search?q=Miami+Circle+Park+Brickell+reviews</t>
        </is>
      </c>
      <c r="Z67" s="13" t="n"/>
      <c r="AA67" s="13" t="inlineStr">
        <is>
          <t>parks@miamigov.com</t>
        </is>
      </c>
      <c r="AB67" s="13" t="inlineStr">
        <is>
          <t>active</t>
        </is>
      </c>
      <c r="AC67" s="13" t="inlineStr">
        <is>
          <t>verified</t>
        </is>
      </c>
      <c r="AD67" s="17" t="inlineStr">
        <is>
          <t>Florida Dept. of State Division of Historical Resources + Wikipedia/Wikidata (Miami Circle), checked 2026-07-07</t>
        </is>
      </c>
      <c r="AE67" s="13" t="inlineStr">
        <is>
          <t>2026-07-07</t>
        </is>
      </c>
      <c r="AF67" s="17" t="inlineStr">
        <is>
          <t>Decision maker: Archeology Director. Contact: parks@miamigov.com. Input name/contact strongly matches the Miami Circle at Brickell Point archaeological site -- a Tequesta-era circle of postmolds (1,700-2,700 years old, discovered 1998) at the mouth of the Miami River, now a public waterfront park (managed with HistoryMiami involvement) directly on the Miami Riverwalk. Neighborhood corrected from generic 'Downtown' to 'Brickell' (the site sits at the Brickell/Downtown boundary at the river mouth). Coordinates sourced from search-indexed Wikidata/Google data, not independently re-verified via direct fetch (site blocked).</t>
        </is>
      </c>
      <c r="AG67" s="7">
        <f>AI67</f>
        <v/>
      </c>
      <c r="AH67" s="7">
        <f>AI67</f>
        <v/>
      </c>
      <c r="AI67" s="7">
        <f>IF(COUNTIF(Quests!$D$4:$D$65,A67)&gt;0,"Yes","No")</f>
        <v/>
      </c>
      <c r="AJ67" s="19">
        <f>IF(AND(AB67="active",AC67="verified",X67&lt;&gt;"",Y67&lt;&gt;"",Z67&lt;&gt;"",W67&lt;&gt;""),"Yes","No")</f>
        <v/>
      </c>
      <c r="AK67" s="19">
        <f>IF(OR(B67="manual_review",Z67="",X67="",AC67&lt;&gt;"verified"),"Yes","No")</f>
        <v/>
      </c>
    </row>
  </sheetData>
  <autoFilter ref="A3:AK6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4"/>
  <sheetViews>
    <sheetView showGridLines="0" workbookViewId="0">
      <selection activeCell="A1" sqref="A1"/>
    </sheetView>
  </sheetViews>
  <sheetFormatPr baseColWidth="8" defaultRowHeight="15"/>
  <cols>
    <col width="42" customWidth="1" min="1" max="1"/>
    <col width="16" customWidth="1" min="2" max="2"/>
    <col width="55" customWidth="1" min="3" max="3"/>
  </cols>
  <sheetData>
    <row r="1">
      <c r="A1" s="20" t="inlineStr">
        <is>
          <t>LAUNCH READINESS - Miami</t>
        </is>
      </c>
    </row>
    <row r="2">
      <c r="A2" s="21" t="inlineStr">
        <is>
          <t>All figures below are live formulas reading from the Partners / Venues / Quests / Asset Pipeline / CRM tabs.</t>
        </is>
      </c>
    </row>
    <row r="4" ht="22" customHeight="1">
      <c r="A4" s="22" t="inlineStr">
        <is>
          <t>CORE COUNTS</t>
        </is>
      </c>
    </row>
    <row r="5">
      <c r="A5" s="23" t="inlineStr">
        <is>
          <t>Total Partner Businesses</t>
        </is>
      </c>
      <c r="B5" s="24">
        <f>COUNTA(Partners!A4:A65)</f>
        <v/>
      </c>
      <c r="C5" s="25" t="inlineStr">
        <is>
          <t>Unique partner businesses on the platform</t>
        </is>
      </c>
    </row>
    <row r="6">
      <c r="A6" s="26" t="inlineStr">
        <is>
          <t>Total Venues</t>
        </is>
      </c>
      <c r="B6" s="27">
        <f>COUNTA(Venues!A4:A65)</f>
        <v/>
      </c>
      <c r="C6" s="28" t="inlineStr">
        <is>
          <t>Physical venue locations</t>
        </is>
      </c>
    </row>
    <row r="7">
      <c r="A7" s="23" t="inlineStr">
        <is>
          <t>Total Quests</t>
        </is>
      </c>
      <c r="B7" s="24">
        <f>COUNTA(Quests!A4:A65)</f>
        <v/>
      </c>
      <c r="C7" s="25" t="inlineStr">
        <is>
          <t>Live quest experiences</t>
        </is>
      </c>
    </row>
    <row r="8">
      <c r="A8" s="26" t="inlineStr">
        <is>
          <t>Total CRM Leads (incl. pending)</t>
        </is>
      </c>
      <c r="B8" s="27">
        <f>COUNTA(CRM!A4:A67)</f>
        <v/>
      </c>
      <c r="C8" s="28" t="inlineStr">
        <is>
          <t>Includes leads not yet imported</t>
        </is>
      </c>
    </row>
    <row r="9">
      <c r="A9" s="23" t="inlineStr">
        <is>
          <t>CRM Leads Pending Import</t>
        </is>
      </c>
      <c r="B9" s="24">
        <f>COUNTIF(CRM!B4:B67,"manual_review")</f>
        <v/>
      </c>
      <c r="C9" s="25" t="inlineStr">
        <is>
          <t>Held for an ops decision - see CRM tab</t>
        </is>
      </c>
    </row>
    <row r="11" ht="22" customHeight="1">
      <c r="A11" s="22" t="inlineStr">
        <is>
          <t>VERIFICATION</t>
        </is>
      </c>
    </row>
    <row r="12">
      <c r="A12" s="26" t="inlineStr">
        <is>
          <t>Verified Businesses</t>
        </is>
      </c>
      <c r="B12" s="27">
        <f>COUNTIF(CRM!AC4:AC67,"verified")</f>
        <v/>
      </c>
      <c r="C12" s="28" t="inlineStr">
        <is>
          <t>CRM verification_status = verified</t>
        </is>
      </c>
    </row>
    <row r="13">
      <c r="A13" s="23" t="inlineStr">
        <is>
          <t>Businesses Needing Manual Review</t>
        </is>
      </c>
      <c r="B13" s="24">
        <f>COUNTIF(CRM!B4:B67,"manual_review")</f>
        <v/>
      </c>
      <c r="C13" s="25" t="inlineStr"/>
    </row>
    <row r="14">
      <c r="A14" s="26" t="inlineStr">
        <is>
          <t>Businesses Needing Outreach (live)</t>
        </is>
      </c>
      <c r="B14" s="27">
        <f>COUNTIF(CRM!AK4:AK67,"Yes")</f>
        <v/>
      </c>
      <c r="C14" s="28" t="inlineStr">
        <is>
          <t>From the Needs Outreach? formula on the CRM tab</t>
        </is>
      </c>
    </row>
    <row r="16" ht="22" customHeight="1">
      <c r="A16" s="22" t="inlineStr">
        <is>
          <t>MISSING DATA</t>
        </is>
      </c>
    </row>
    <row r="17">
      <c r="A17" s="23" t="inlineStr">
        <is>
          <t>Missing Websites</t>
        </is>
      </c>
      <c r="B17" s="24">
        <f>COUNTBLANK(CRM!X4:X67)</f>
        <v/>
      </c>
      <c r="C17" s="25" t="inlineStr"/>
    </row>
    <row r="18">
      <c r="A18" s="26" t="inlineStr">
        <is>
          <t>Missing Google Reviews</t>
        </is>
      </c>
      <c r="B18" s="27">
        <f>COUNTBLANK(CRM!Y4:Y67)</f>
        <v/>
      </c>
      <c r="C18" s="28" t="inlineStr"/>
    </row>
    <row r="19">
      <c r="A19" s="23" t="inlineStr">
        <is>
          <t>Missing Instagram</t>
        </is>
      </c>
      <c r="B19" s="24">
        <f>COUNTBLANK(CRM!Z4:Z67)</f>
        <v/>
      </c>
      <c r="C19" s="25" t="inlineStr"/>
    </row>
    <row r="20">
      <c r="A20" s="26" t="inlineStr">
        <is>
          <t>Missing Hero Images</t>
        </is>
      </c>
      <c r="B20" s="27">
        <f>COUNTBLANK(CRM!W4:W67)</f>
        <v/>
      </c>
      <c r="C20" s="28" t="inlineStr">
        <is>
          <t>0 of 124 assets sourced yet - see Asset Pipeline</t>
        </is>
      </c>
    </row>
    <row r="21">
      <c r="A21" s="23" t="inlineStr">
        <is>
          <t>Missing Logos</t>
        </is>
      </c>
      <c r="B21" s="24">
        <f>COUNTIFS('Asset Pipeline'!E4:E127,"Venue Logo",'Asset Pipeline'!H4:H127,"&lt;&gt;Complete")</f>
        <v/>
      </c>
      <c r="C21" s="25" t="inlineStr"/>
    </row>
    <row r="22">
      <c r="A22" s="26" t="inlineStr">
        <is>
          <t>Missing Coordinates</t>
        </is>
      </c>
      <c r="B22" s="27">
        <f>COUNTBLANK(Venues!H4:H65)</f>
        <v/>
      </c>
      <c r="C22" s="28" t="inlineStr"/>
    </row>
    <row r="23">
      <c r="A23" s="23" t="inlineStr">
        <is>
          <t>Missing Business Hours</t>
        </is>
      </c>
      <c r="B23" s="24">
        <f>COUNTBLANK(Venues!K4:K65)</f>
        <v/>
      </c>
      <c r="C23" s="25" t="inlineStr">
        <is>
          <t>60 of 62 venues - structural gap, see merge_report.md</t>
        </is>
      </c>
    </row>
    <row r="25" ht="22" customHeight="1">
      <c r="A25" s="22" t="inlineStr">
        <is>
          <t>READINESS SUB-SCORES (equal-weighted inputs to the overall score)</t>
        </is>
      </c>
    </row>
    <row r="26">
      <c r="A26" s="26" t="inlineStr">
        <is>
          <t>Partner Completeness %</t>
        </is>
      </c>
      <c r="B26" s="29">
        <f>COUNTA(Partners!E4:E65)/COUNTA(Partners!A4:A65)</f>
        <v/>
      </c>
      <c r="C26" s="28" t="inlineStr">
        <is>
          <t>Share of partners with a contact email on file</t>
        </is>
      </c>
    </row>
    <row r="27">
      <c r="A27" s="23" t="inlineStr">
        <is>
          <t>Venue Completeness %</t>
        </is>
      </c>
      <c r="B27" s="30">
        <f>AVERAGE(COUNTIF(Venues!O4:O65,"Complete")/COUNTA(Venues!A4:A65),COUNTIF(Venues!P4:P65,"Present")/COUNTA(Venues!A4:A65))</f>
        <v/>
      </c>
      <c r="C27" s="25" t="inlineStr">
        <is>
          <t>Average of address completeness and hours-present rate</t>
        </is>
      </c>
    </row>
    <row r="28">
      <c r="A28" s="26" t="inlineStr">
        <is>
          <t>Quest Completeness %</t>
        </is>
      </c>
      <c r="B28" s="29">
        <f>AVERAGE(COUNTIF(Quests!P4:P65,"active")/COUNTA(Quests!A4:A65),COUNTA(Quests!Q4:Q65)/COUNTA(Quests!A4:A65),COUNTA(Quests!R4:R65)/COUNTA(Quests!A4:A65),COUNTA(Quests!T4:T65)/COUNTA(Quests!A4:A65))</f>
        <v/>
      </c>
      <c r="C28" s="28" t="inlineStr">
        <is>
          <t>Average of active-status, website, reviews, and social-link presence</t>
        </is>
      </c>
    </row>
    <row r="29">
      <c r="A29" s="23" t="inlineStr">
        <is>
          <t>Asset Completeness %</t>
        </is>
      </c>
      <c r="B29" s="30">
        <f>COUNTIF('Asset Pipeline'!H4:H127,"Complete")/COUNTA('Asset Pipeline'!A4:A127)</f>
        <v/>
      </c>
      <c r="C29" s="25" t="inlineStr">
        <is>
          <t>Share of the 124 hero-image/logo slots marked Complete</t>
        </is>
      </c>
    </row>
    <row r="30">
      <c r="A30" s="26" t="inlineStr">
        <is>
          <t>Verification Completeness %</t>
        </is>
      </c>
      <c r="B30" s="29">
        <f>COUNTIF(CRM!AC4:AC67,"verified")/COUNTA(CRM!A4:A67)</f>
        <v/>
      </c>
      <c r="C30" s="28" t="inlineStr">
        <is>
          <t>Share of all 64 CRM leads (incl. pending) marked verified</t>
        </is>
      </c>
    </row>
    <row r="31">
      <c r="A31" s="23" t="inlineStr">
        <is>
          <t>Data Integrity %</t>
        </is>
      </c>
      <c r="B31" s="30" t="n">
        <v>1</v>
      </c>
      <c r="C31" s="25" t="inlineStr">
        <is>
          <t>Static: 0 duplicate IDs, 0 orphaned foreign keys found in the build-time integrity pass (see merge_report.md)</t>
        </is>
      </c>
    </row>
    <row r="33" ht="22" customHeight="1">
      <c r="A33" s="22" t="inlineStr">
        <is>
          <t>OVERALL LAUNCH READINESS SCORE</t>
        </is>
      </c>
    </row>
    <row r="34" ht="26" customHeight="1">
      <c r="A34" s="31" t="inlineStr">
        <is>
          <t>Overall Launch Readiness Score</t>
        </is>
      </c>
      <c r="B34" s="32">
        <f>AVERAGE(B26,B27,B28,B29,B30,B31)</f>
        <v/>
      </c>
      <c r="C34" s="21" t="inlineStr">
        <is>
          <t>0-49% Not Ready | 50-79% In Progress | 80-100% Ready for Launch</t>
        </is>
      </c>
    </row>
  </sheetData>
  <mergeCells count="5">
    <mergeCell ref="A25:C25"/>
    <mergeCell ref="A33:C33"/>
    <mergeCell ref="A11:C11"/>
    <mergeCell ref="A4:C4"/>
    <mergeCell ref="A16:C16"/>
  </mergeCells>
  <conditionalFormatting sqref="B34">
    <cfRule type="cellIs" priority="1" operator="lessThan" dxfId="0">
      <formula>0.5</formula>
    </cfRule>
    <cfRule type="cellIs" priority="2" operator="between" dxfId="1">
      <formula>0.5</formula>
      <formula>0.7999</formula>
    </cfRule>
    <cfRule type="cellIs" priority="3" operator="greaterThanOrEqual" dxfId="2">
      <formula>0.8</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74"/>
  <sheetViews>
    <sheetView showGridLines="0" workbookViewId="0">
      <selection activeCell="A1" sqref="A1"/>
    </sheetView>
  </sheetViews>
  <sheetFormatPr baseColWidth="8" defaultRowHeight="15"/>
  <cols>
    <col width="30" customWidth="1" min="1" max="1"/>
    <col width="6.4" customWidth="1" min="2" max="2"/>
    <col width="6.4" customWidth="1" min="3" max="3"/>
    <col width="6.4" customWidth="1" min="4" max="4"/>
    <col width="6.4" customWidth="1" min="5" max="5"/>
    <col width="6.4" customWidth="1" min="6" max="6"/>
    <col width="6.4" customWidth="1" min="7" max="7"/>
    <col width="6.4" customWidth="1" min="8" max="8"/>
    <col width="6.4" customWidth="1" min="9" max="9"/>
    <col width="6.4" customWidth="1" min="10" max="10"/>
    <col width="6.4" customWidth="1" min="11" max="11"/>
    <col width="6.4" customWidth="1" min="12" max="12"/>
    <col width="6.4" customWidth="1" min="13" max="13"/>
    <col width="6.4" customWidth="1" min="14" max="14"/>
    <col width="6.4" customWidth="1" min="15" max="15"/>
    <col width="6.4" customWidth="1" min="16" max="16"/>
    <col width="6.4" customWidth="1" min="17" max="17"/>
    <col width="6.4" customWidth="1" min="18" max="18"/>
    <col width="6.4" customWidth="1" min="19" max="19"/>
    <col width="6.4" customWidth="1" min="20" max="20"/>
    <col width="6.4" customWidth="1" min="21" max="21"/>
    <col width="6.4" customWidth="1" min="22" max="22"/>
    <col width="6.4" customWidth="1" min="23" max="23"/>
    <col width="6.4" customWidth="1" min="24" max="24"/>
    <col width="6.4" customWidth="1" min="25" max="25"/>
    <col width="6.4" customWidth="1" min="26" max="26"/>
    <col width="6.4" customWidth="1" min="27" max="27"/>
    <col width="6.4" customWidth="1" min="28" max="28"/>
  </cols>
  <sheetData>
    <row r="1">
      <c r="A1" s="33" t="inlineStr">
        <is>
          <t>EXECUTIVE DASHBOARD - How close are we to launching Miami?</t>
        </is>
      </c>
    </row>
    <row r="2">
      <c r="A2" s="21" t="inlineStr">
        <is>
          <t>Live view over the Partners / Venues / Quests / Asset Pipeline / CRM tabs. Numbers update as those tabs change.</t>
        </is>
      </c>
    </row>
    <row r="4" ht="20" customHeight="1">
      <c r="A4" s="34" t="inlineStr">
        <is>
          <t>LAUNCH PROGRESS</t>
        </is>
      </c>
    </row>
    <row r="6" ht="26" customHeight="1">
      <c r="A6" s="35" t="inlineStr">
        <is>
          <t>Total Partner Businesses</t>
        </is>
      </c>
      <c r="B6" s="36" t="n"/>
      <c r="C6" s="37" t="n"/>
      <c r="E6" s="35" t="inlineStr">
        <is>
          <t>Total Venues</t>
        </is>
      </c>
      <c r="F6" s="36" t="n"/>
      <c r="G6" s="37" t="n"/>
      <c r="I6" s="35" t="inlineStr">
        <is>
          <t>Total Quests</t>
        </is>
      </c>
      <c r="J6" s="36" t="n"/>
      <c r="K6" s="37" t="n"/>
      <c r="M6" s="35" t="inlineStr">
        <is>
          <t>Verified Businesses</t>
        </is>
      </c>
      <c r="N6" s="36" t="n"/>
      <c r="O6" s="37" t="n"/>
      <c r="Q6" s="35" t="inlineStr">
        <is>
          <t>Active Businesses</t>
        </is>
      </c>
      <c r="R6" s="36" t="n"/>
      <c r="S6" s="37" t="n"/>
      <c r="U6" s="35" t="inlineStr">
        <is>
          <t>Ready for Outreach</t>
        </is>
      </c>
      <c r="V6" s="36" t="n"/>
      <c r="W6" s="37" t="n"/>
      <c r="Y6" s="35" t="inlineStr">
        <is>
          <t>Fully Launch Ready</t>
        </is>
      </c>
      <c r="Z6" s="36" t="n"/>
      <c r="AA6" s="37" t="n"/>
    </row>
    <row r="7">
      <c r="A7" s="38">
        <f>'Launch Readiness'!B5</f>
        <v/>
      </c>
      <c r="B7" s="39" t="n"/>
      <c r="C7" s="40" t="n"/>
      <c r="E7" s="38">
        <f>'Launch Readiness'!B6</f>
        <v/>
      </c>
      <c r="F7" s="39" t="n"/>
      <c r="G7" s="40" t="n"/>
      <c r="I7" s="38">
        <f>'Launch Readiness'!B7</f>
        <v/>
      </c>
      <c r="J7" s="39" t="n"/>
      <c r="K7" s="40" t="n"/>
      <c r="M7" s="38">
        <f>'Launch Readiness'!B12</f>
        <v/>
      </c>
      <c r="N7" s="39" t="n"/>
      <c r="O7" s="40" t="n"/>
      <c r="Q7" s="38">
        <f>COUNTIF(CRM!AB4:AB67,"active")</f>
        <v/>
      </c>
      <c r="R7" s="39" t="n"/>
      <c r="S7" s="40" t="n"/>
      <c r="U7" s="38">
        <f>SUMPRODUCT((CRM!AA4:AA67&lt;&gt;"")*(CRM!AK4:AK67="Yes"))</f>
        <v/>
      </c>
      <c r="V7" s="39" t="n"/>
      <c r="W7" s="40" t="n"/>
      <c r="Y7" s="38">
        <f>COUNTIF(CRM!AJ4:AJ67,"Yes")</f>
        <v/>
      </c>
      <c r="Z7" s="39" t="n"/>
      <c r="AA7" s="40" t="n"/>
    </row>
    <row r="8">
      <c r="A8" s="41" t="n"/>
      <c r="B8" s="42" t="n"/>
      <c r="C8" s="43" t="n"/>
      <c r="E8" s="41" t="n"/>
      <c r="F8" s="42" t="n"/>
      <c r="G8" s="43" t="n"/>
      <c r="I8" s="41" t="n"/>
      <c r="J8" s="42" t="n"/>
      <c r="K8" s="43" t="n"/>
      <c r="M8" s="44" t="n"/>
      <c r="N8" s="39" t="n"/>
      <c r="O8" s="40" t="n"/>
      <c r="Q8" s="44" t="n"/>
      <c r="R8" s="39" t="n"/>
      <c r="S8" s="40" t="n"/>
      <c r="U8" s="44" t="n"/>
      <c r="V8" s="39" t="n"/>
      <c r="W8" s="40" t="n"/>
      <c r="Y8" s="44" t="n"/>
      <c r="Z8" s="39" t="n"/>
      <c r="AA8" s="40" t="n"/>
    </row>
    <row r="9">
      <c r="M9" s="45" t="inlineStr">
        <is>
          <t>verification_status = verified</t>
        </is>
      </c>
      <c r="N9" s="42" t="n"/>
      <c r="O9" s="43" t="n"/>
      <c r="Q9" s="45" t="inlineStr">
        <is>
          <t>business_status = active</t>
        </is>
      </c>
      <c r="R9" s="42" t="n"/>
      <c r="S9" s="43" t="n"/>
      <c r="U9" s="45" t="inlineStr">
        <is>
          <t>has contact info + outreach flagged</t>
        </is>
      </c>
      <c r="V9" s="42" t="n"/>
      <c r="W9" s="43" t="n"/>
      <c r="Y9" s="45" t="inlineStr">
        <is>
          <t>all fields + assets complete</t>
        </is>
      </c>
      <c r="Z9" s="42" t="n"/>
      <c r="AA9" s="43" t="n"/>
    </row>
    <row r="11" ht="20" customHeight="1">
      <c r="A11" s="34" t="inlineStr">
        <is>
          <t>ASSET PROGRESS</t>
        </is>
      </c>
    </row>
    <row r="13">
      <c r="A13" s="46" t="inlineStr">
        <is>
          <t>Hero Images Complete</t>
        </is>
      </c>
      <c r="B13" s="47">
        <f>COUNTIFS('Asset Pipeline'!E4:E127,"Hero Image",'Asset Pipeline'!H4:H127,"Complete")/COUNTIF('Asset Pipeline'!E4:E127,"Hero Image")</f>
        <v/>
      </c>
    </row>
    <row r="14">
      <c r="A14" s="46" t="inlineStr">
        <is>
          <t>Logos Complete</t>
        </is>
      </c>
      <c r="B14" s="47">
        <f>COUNTIFS('Asset Pipeline'!E4:E127,"Venue Logo",'Asset Pipeline'!H4:H127,"Complete")/COUNTIF('Asset Pipeline'!E4:E127,"Venue Logo")</f>
        <v/>
      </c>
    </row>
    <row r="15">
      <c r="A15" s="46" t="inlineStr">
        <is>
          <t>Websites Present</t>
        </is>
      </c>
      <c r="B15" s="47">
        <f>COUNTA(CRM!X4:X67)/COUNTA(CRM!A4:A67)</f>
        <v/>
      </c>
    </row>
    <row r="16">
      <c r="A16" s="46" t="inlineStr">
        <is>
          <t>Google Reviews Present</t>
        </is>
      </c>
      <c r="B16" s="47">
        <f>COUNTA(CRM!Y4:Y67)/COUNTA(CRM!A4:A67)</f>
        <v/>
      </c>
    </row>
    <row r="17">
      <c r="A17" s="46" t="inlineStr">
        <is>
          <t>Instagram Present</t>
        </is>
      </c>
      <c r="B17" s="47">
        <f>COUNTA(CRM!Z4:Z67)/COUNTA(CRM!A4:A67)</f>
        <v/>
      </c>
    </row>
    <row r="19" ht="20" customHeight="1">
      <c r="A19" s="34" t="inlineStr">
        <is>
          <t>GEOGRAPHIC COVERAGE</t>
        </is>
      </c>
    </row>
    <row r="21">
      <c r="A21" s="48" t="inlineStr">
        <is>
          <t>Neighborhood</t>
        </is>
      </c>
      <c r="B21" s="48" t="inlineStr">
        <is>
          <t>Venues</t>
        </is>
      </c>
      <c r="C21" s="48" t="inlineStr">
        <is>
          <t>Coverage</t>
        </is>
      </c>
    </row>
    <row r="22">
      <c r="A22" s="49" t="inlineStr">
        <is>
          <t>Downtown Miami</t>
        </is>
      </c>
      <c r="B22" s="50">
        <f>COUNTIF(Venues!G4:G65,A22)</f>
        <v/>
      </c>
      <c r="C22" s="50">
        <f>IF(B22&lt;=1,"Weak Coverage","OK")</f>
        <v/>
      </c>
    </row>
    <row r="23">
      <c r="A23" s="51" t="inlineStr">
        <is>
          <t>South Beach</t>
        </is>
      </c>
      <c r="B23" s="52">
        <f>COUNTIF(Venues!G4:G65,A23)</f>
        <v/>
      </c>
      <c r="C23" s="52">
        <f>IF(B23&lt;=1,"Weak Coverage","OK")</f>
        <v/>
      </c>
    </row>
    <row r="24">
      <c r="A24" s="49" t="inlineStr">
        <is>
          <t>Wynwood</t>
        </is>
      </c>
      <c r="B24" s="50">
        <f>COUNTIF(Venues!G4:G65,A24)</f>
        <v/>
      </c>
      <c r="C24" s="50">
        <f>IF(B24&lt;=1,"Weak Coverage","OK")</f>
        <v/>
      </c>
    </row>
    <row r="25">
      <c r="A25" s="51" t="inlineStr">
        <is>
          <t>Brickell</t>
        </is>
      </c>
      <c r="B25" s="52">
        <f>COUNTIF(Venues!G4:G65,A25)</f>
        <v/>
      </c>
      <c r="C25" s="52">
        <f>IF(B25&lt;=1,"Weak Coverage","OK")</f>
        <v/>
      </c>
    </row>
    <row r="26">
      <c r="A26" s="49" t="inlineStr">
        <is>
          <t>Coral Gables</t>
        </is>
      </c>
      <c r="B26" s="50">
        <f>COUNTIF(Venues!G4:G65,A26)</f>
        <v/>
      </c>
      <c r="C26" s="50">
        <f>IF(B26&lt;=1,"Weak Coverage","OK")</f>
        <v/>
      </c>
    </row>
    <row r="27">
      <c r="A27" s="51" t="inlineStr">
        <is>
          <t>Design District</t>
        </is>
      </c>
      <c r="B27" s="52">
        <f>COUNTIF(Venues!G4:G65,A27)</f>
        <v/>
      </c>
      <c r="C27" s="52">
        <f>IF(B27&lt;=1,"Weak Coverage","OK")</f>
        <v/>
      </c>
    </row>
    <row r="28">
      <c r="A28" s="49" t="inlineStr">
        <is>
          <t>Coconut Grove</t>
        </is>
      </c>
      <c r="B28" s="50">
        <f>COUNTIF(Venues!G4:G65,A28)</f>
        <v/>
      </c>
      <c r="C28" s="50">
        <f>IF(B28&lt;=1,"Weak Coverage","OK")</f>
        <v/>
      </c>
    </row>
    <row r="29">
      <c r="A29" s="51" t="inlineStr">
        <is>
          <t>Little River</t>
        </is>
      </c>
      <c r="B29" s="52">
        <f>COUNTIF(Venues!G4:G65,A29)</f>
        <v/>
      </c>
      <c r="C29" s="52">
        <f>IF(B29&lt;=1,"Weak Coverage","OK")</f>
        <v/>
      </c>
    </row>
    <row r="30">
      <c r="A30" s="49" t="inlineStr">
        <is>
          <t>Watson Island</t>
        </is>
      </c>
      <c r="B30" s="50">
        <f>COUNTIF(Venues!G4:G65,A30)</f>
        <v/>
      </c>
      <c r="C30" s="50">
        <f>IF(B30&lt;=1,"Weak Coverage","OK")</f>
        <v/>
      </c>
    </row>
    <row r="31">
      <c r="A31" s="51" t="inlineStr">
        <is>
          <t>Allapattah</t>
        </is>
      </c>
      <c r="B31" s="52">
        <f>COUNTIF(Venues!G4:G65,A31)</f>
        <v/>
      </c>
      <c r="C31" s="52">
        <f>IF(B31&lt;=1,"Weak Coverage","OK")</f>
        <v/>
      </c>
    </row>
    <row r="32">
      <c r="A32" s="49" t="inlineStr">
        <is>
          <t>Edgewater</t>
        </is>
      </c>
      <c r="B32" s="50">
        <f>COUNTIF(Venues!G4:G65,A32)</f>
        <v/>
      </c>
      <c r="C32" s="50">
        <f>IF(B32&lt;=1,"Weak Coverage","OK")</f>
        <v/>
      </c>
    </row>
    <row r="33">
      <c r="A33" s="51" t="inlineStr">
        <is>
          <t>Belle Isle / South Beach</t>
        </is>
      </c>
      <c r="B33" s="52">
        <f>COUNTIF(Venues!G4:G65,A33)</f>
        <v/>
      </c>
      <c r="C33" s="52">
        <f>IF(B33&lt;=1,"Weak Coverage","OK")</f>
        <v/>
      </c>
    </row>
    <row r="34">
      <c r="A34" s="49" t="inlineStr">
        <is>
          <t>Little Haiti / Little River</t>
        </is>
      </c>
      <c r="B34" s="50">
        <f>COUNTIF(Venues!G4:G65,A34)</f>
        <v/>
      </c>
      <c r="C34" s="50">
        <f>IF(B34&lt;=1,"Weak Coverage","OK")</f>
        <v/>
      </c>
    </row>
    <row r="35">
      <c r="A35" s="51" t="inlineStr">
        <is>
          <t>Little Havana</t>
        </is>
      </c>
      <c r="B35" s="52">
        <f>COUNTIF(Venues!G4:G65,A35)</f>
        <v/>
      </c>
      <c r="C35" s="52">
        <f>IF(B35&lt;=1,"Weak Coverage","OK")</f>
        <v/>
      </c>
    </row>
    <row r="36">
      <c r="A36" s="49" t="inlineStr">
        <is>
          <t>Downtown Miami / Park West</t>
        </is>
      </c>
      <c r="B36" s="50">
        <f>COUNTIF(Venues!G4:G65,A36)</f>
        <v/>
      </c>
      <c r="C36" s="50">
        <f>IF(B36&lt;=1,"Weak Coverage","OK")</f>
        <v/>
      </c>
    </row>
    <row r="37">
      <c r="A37" s="51" t="inlineStr">
        <is>
          <t>Midtown / Wynwood-Edgewater</t>
        </is>
      </c>
      <c r="B37" s="52">
        <f>COUNTIF(Venues!G4:G65,A37)</f>
        <v/>
      </c>
      <c r="C37" s="52">
        <f>IF(B37&lt;=1,"Weak Coverage","OK")</f>
        <v/>
      </c>
    </row>
    <row r="38">
      <c r="A38" s="49" t="inlineStr">
        <is>
          <t>Park West / Downtown Miami</t>
        </is>
      </c>
      <c r="B38" s="50">
        <f>COUNTIF(Venues!G4:G65,A38)</f>
        <v/>
      </c>
      <c r="C38" s="50">
        <f>IF(B38&lt;=1,"Weak Coverage","OK")</f>
        <v/>
      </c>
    </row>
    <row r="39">
      <c r="A39" s="51" t="inlineStr">
        <is>
          <t>Pinecrest</t>
        </is>
      </c>
      <c r="B39" s="52">
        <f>COUNTIF(Venues!G4:G65,A39)</f>
        <v/>
      </c>
      <c r="C39" s="52">
        <f>IF(B39&lt;=1,"Weak Coverage","OK")</f>
        <v/>
      </c>
    </row>
    <row r="40">
      <c r="A40" s="49" t="inlineStr">
        <is>
          <t>Downtown Miami / Arts &amp; Entertainment District</t>
        </is>
      </c>
      <c r="B40" s="50">
        <f>COUNTIF(Venues!G4:G65,A40)</f>
        <v/>
      </c>
      <c r="C40" s="50">
        <f>IF(B40&lt;=1,"Weak Coverage","OK")</f>
        <v/>
      </c>
    </row>
    <row r="41">
      <c r="A41" s="51" t="inlineStr">
        <is>
          <t>South Beach (South of Fifth)</t>
        </is>
      </c>
      <c r="B41" s="52">
        <f>COUNTIF(Venues!G4:G65,A41)</f>
        <v/>
      </c>
      <c r="C41" s="52">
        <f>IF(B41&lt;=1,"Weak Coverage","OK")</f>
        <v/>
      </c>
    </row>
    <row r="42">
      <c r="A42" s="49" t="inlineStr">
        <is>
          <t>Coral Way</t>
        </is>
      </c>
      <c r="B42" s="50">
        <f>COUNTIF(Venues!G4:G65,A42)</f>
        <v/>
      </c>
      <c r="C42" s="50">
        <f>IF(B42&lt;=1,"Weak Coverage","OK")</f>
        <v/>
      </c>
    </row>
    <row r="43">
      <c r="A43" s="51" t="inlineStr">
        <is>
          <t>Little Haiti</t>
        </is>
      </c>
      <c r="B43" s="52">
        <f>COUNTIF(Venues!G4:G65,A43)</f>
        <v/>
      </c>
      <c r="C43" s="52">
        <f>IF(B43&lt;=1,"Weak Coverage","OK")</f>
        <v/>
      </c>
    </row>
    <row r="47" ht="20" customHeight="1">
      <c r="A47" s="34" t="inlineStr">
        <is>
          <t>DATA HEALTH</t>
        </is>
      </c>
    </row>
    <row r="49">
      <c r="A49" s="53" t="inlineStr">
        <is>
          <t>Duplicate Partner Names</t>
        </is>
      </c>
      <c r="K49" s="54">
        <f>COUNTIF(Partners!K4:K65,"Duplicate Name")</f>
        <v/>
      </c>
      <c r="L49" s="55">
        <f>HYPERLINK("#'Partners'!A1","-&gt; View in Partners tab")</f>
        <v/>
      </c>
      <c r="R49" s="56" t="inlineStr">
        <is>
          <t>None found - see Partners tab</t>
        </is>
      </c>
    </row>
    <row r="50">
      <c r="A50" s="53" t="inlineStr">
        <is>
          <t>Shared-Address Flags (review, not necessarily duplicates)</t>
        </is>
      </c>
      <c r="K50" s="54">
        <f>COUNTIF(Partners!K4:K65,"Shared Address (review)")</f>
        <v/>
      </c>
      <c r="L50" s="55">
        <f>HYPERLINK("#'Partners'!A1","-&gt; View in Partners tab")</f>
        <v/>
      </c>
      <c r="R50" s="56" t="inlineStr">
        <is>
          <t>e.g. multi-venue complexes like Watson Island</t>
        </is>
      </c>
    </row>
    <row r="51">
      <c r="A51" s="53" t="inlineStr">
        <is>
          <t>Missing Websites</t>
        </is>
      </c>
      <c r="K51" s="54">
        <f>'Launch Readiness'!B17</f>
        <v/>
      </c>
      <c r="L51" s="55">
        <f>HYPERLINK("#'CRM'!A1","-&gt; View in CRM tab")</f>
        <v/>
      </c>
      <c r="R51" s="56" t="inlineStr"/>
    </row>
    <row r="52">
      <c r="A52" s="53" t="inlineStr">
        <is>
          <t>Missing Coordinates</t>
        </is>
      </c>
      <c r="K52" s="54">
        <f>'Launch Readiness'!B22</f>
        <v/>
      </c>
      <c r="L52" s="55">
        <f>HYPERLINK("#'Venues'!A1","-&gt; View in Venues tab")</f>
        <v/>
      </c>
      <c r="R52" s="56" t="inlineStr"/>
    </row>
    <row r="53">
      <c r="A53" s="53" t="inlineStr">
        <is>
          <t>Missing Business Hours</t>
        </is>
      </c>
      <c r="K53" s="54">
        <f>'Launch Readiness'!B23</f>
        <v/>
      </c>
      <c r="L53" s="55">
        <f>HYPERLINK("#'Venues'!A1","-&gt; View in Venues tab")</f>
        <v/>
      </c>
      <c r="R53" s="56" t="inlineStr">
        <is>
          <t>Structural gap - see merge_report.md</t>
        </is>
      </c>
    </row>
    <row r="54">
      <c r="A54" s="53" t="inlineStr">
        <is>
          <t>Missing Contact Information</t>
        </is>
      </c>
      <c r="K54" s="54">
        <f>COUNTBLANK(Partners!E4:E65)</f>
        <v/>
      </c>
      <c r="L54" s="55">
        <f>HYPERLINK("#'Partners'!A1","-&gt; View in Partners tab")</f>
        <v/>
      </c>
      <c r="R54" s="56" t="inlineStr"/>
    </row>
    <row r="55">
      <c r="A55" s="53" t="inlineStr">
        <is>
          <t>Missing Quest Descriptions</t>
        </is>
      </c>
      <c r="K55" s="54">
        <f>COUNTBLANK(Quests!O4:O65)</f>
        <v/>
      </c>
      <c r="L55" s="55">
        <f>HYPERLINK("#'Quests'!A1","-&gt; View in Quests tab")</f>
        <v/>
      </c>
      <c r="R55" s="56" t="inlineStr"/>
    </row>
    <row r="56">
      <c r="A56" s="53" t="inlineStr">
        <is>
          <t>Missing Assets (hero image or logo)</t>
        </is>
      </c>
      <c r="K56" s="54">
        <f>COUNTA('Asset Pipeline'!A4:A127)-COUNTIF('Asset Pipeline'!H4:H127,"Complete")</f>
        <v/>
      </c>
      <c r="L56" s="55">
        <f>HYPERLINK("#'Asset Pipeline'!A1","-&gt; View in Asset Pipeline tab")</f>
        <v/>
      </c>
      <c r="R56" s="56" t="inlineStr">
        <is>
          <t>Out of 124 total slots</t>
        </is>
      </c>
    </row>
    <row r="58" ht="20" customHeight="1">
      <c r="A58" s="34" t="inlineStr">
        <is>
          <t>LAUNCH CHECKLIST</t>
        </is>
      </c>
    </row>
    <row r="60">
      <c r="A60" s="57">
        <f>IF(IF('Launch Readiness'!B5&gt;0,"Yes","No")="Yes","☑","☐")</f>
        <v/>
      </c>
      <c r="B60" s="46" t="inlineStr">
        <is>
          <t>Partners imported</t>
        </is>
      </c>
    </row>
    <row r="61">
      <c r="A61" s="57">
        <f>IF(IF('Launch Readiness'!B6&gt;0,"Yes","No")="Yes","☑","☐")</f>
        <v/>
      </c>
      <c r="B61" s="46" t="inlineStr">
        <is>
          <t>Venues imported</t>
        </is>
      </c>
    </row>
    <row r="62">
      <c r="A62" s="57">
        <f>IF(IF('Launch Readiness'!B7&gt;0,"Yes","No")="Yes","☑","☐")</f>
        <v/>
      </c>
      <c r="B62" s="46" t="inlineStr">
        <is>
          <t>Quests imported</t>
        </is>
      </c>
    </row>
    <row r="63">
      <c r="A63" s="57">
        <f>IF(IF('Launch Readiness'!B20=0,"Yes","No")="Yes","☑","☐")</f>
        <v/>
      </c>
      <c r="B63" s="46" t="inlineStr">
        <is>
          <t>Hero images complete</t>
        </is>
      </c>
    </row>
    <row r="64">
      <c r="A64" s="57">
        <f>IF(IF('Launch Readiness'!B21=0,"Yes","No")="Yes","☑","☐")</f>
        <v/>
      </c>
      <c r="B64" s="46" t="inlineStr">
        <is>
          <t>Logos complete</t>
        </is>
      </c>
    </row>
    <row r="65">
      <c r="A65" s="57">
        <f>IF(IF('Launch Readiness'!B22=0,"Yes","No")="Yes","☑","☐")</f>
        <v/>
      </c>
      <c r="B65" s="46" t="inlineStr">
        <is>
          <t>Coordinates verified</t>
        </is>
      </c>
    </row>
    <row r="66">
      <c r="A66" s="57">
        <f>IF(IF('Launch Readiness'!B18=0,"Yes","No")="Yes","☑","☐")</f>
        <v/>
      </c>
      <c r="B66" s="46" t="inlineStr">
        <is>
          <t>Google Reviews verified</t>
        </is>
      </c>
    </row>
    <row r="67">
      <c r="A67" s="57">
        <f>IF(IF('Launch Readiness'!B19=0,"Yes","No")="Yes","☑","☐")</f>
        <v/>
      </c>
      <c r="B67" s="46" t="inlineStr">
        <is>
          <t>Instagram verified</t>
        </is>
      </c>
    </row>
    <row r="68">
      <c r="A68" s="57">
        <f>IF(IF('Launch Readiness'!B34&gt;=0.8,"Yes","No")="Yes","☑","☐")</f>
        <v/>
      </c>
      <c r="B68" s="46" t="inlineStr">
        <is>
          <t>Import-ready (readiness &gt;= 80%)</t>
        </is>
      </c>
    </row>
    <row r="70" ht="20" customHeight="1">
      <c r="A70" s="34" t="inlineStr">
        <is>
          <t>OVERALL LAUNCH READINESS SCORE</t>
        </is>
      </c>
    </row>
    <row r="72" ht="26" customHeight="1">
      <c r="A72" s="58">
        <f>IF('Launch Readiness'!B34&lt;0.5,"🔴 NOT READY - "&amp;TEXT('Launch Readiness'!B34,"0%"),IF('Launch Readiness'!B34&lt;0.8,"🟡 IN PROGRESS - "&amp;TEXT('Launch Readiness'!B34,"0%"),"🟢 READY FOR LAUNCH - "&amp;TEXT('Launch Readiness'!B34,"0%")))</f>
        <v/>
      </c>
      <c r="B72" s="59" t="n"/>
      <c r="C72" s="59" t="n"/>
      <c r="D72" s="59" t="n"/>
      <c r="E72" s="59" t="n"/>
      <c r="F72" s="59" t="n"/>
      <c r="G72" s="59" t="n"/>
      <c r="H72" s="59" t="n"/>
      <c r="I72" s="59" t="n"/>
      <c r="J72" s="59" t="n"/>
      <c r="K72" s="59" t="n"/>
      <c r="L72" s="59" t="n"/>
      <c r="M72" s="59" t="n"/>
      <c r="N72" s="60" t="n"/>
      <c r="P72" s="61" t="inlineStr">
        <is>
          <t>0-49% Not Ready | 50-79% In Progress | 80-100% Ready for Launch
See the Launch Readiness tab for the full weighted breakdown.</t>
        </is>
      </c>
    </row>
    <row r="73">
      <c r="A73" s="62" t="n"/>
      <c r="N73" s="63" t="n"/>
    </row>
    <row r="74">
      <c r="A74" s="64" t="n"/>
      <c r="B74" s="65" t="n"/>
      <c r="C74" s="65" t="n"/>
      <c r="D74" s="65" t="n"/>
      <c r="E74" s="65" t="n"/>
      <c r="F74" s="65" t="n"/>
      <c r="G74" s="65" t="n"/>
      <c r="H74" s="65" t="n"/>
      <c r="I74" s="65" t="n"/>
      <c r="J74" s="65" t="n"/>
      <c r="K74" s="65" t="n"/>
      <c r="L74" s="65" t="n"/>
      <c r="M74" s="65" t="n"/>
      <c r="N74" s="66" t="n"/>
    </row>
  </sheetData>
  <mergeCells count="66">
    <mergeCell ref="A2:AB2"/>
    <mergeCell ref="R52:AB52"/>
    <mergeCell ref="Q7:S8"/>
    <mergeCell ref="B67:J67"/>
    <mergeCell ref="B61:J61"/>
    <mergeCell ref="A47:AB47"/>
    <mergeCell ref="B60:J60"/>
    <mergeCell ref="A53:J53"/>
    <mergeCell ref="B15:H15"/>
    <mergeCell ref="A52:J52"/>
    <mergeCell ref="M6:O6"/>
    <mergeCell ref="L55:Q55"/>
    <mergeCell ref="E6:G6"/>
    <mergeCell ref="A4:AB4"/>
    <mergeCell ref="Q6:S6"/>
    <mergeCell ref="L51:Q51"/>
    <mergeCell ref="Y6:AA6"/>
    <mergeCell ref="L54:Q54"/>
    <mergeCell ref="A19:AB19"/>
    <mergeCell ref="R49:AB49"/>
    <mergeCell ref="Q9:S9"/>
    <mergeCell ref="L50:Q50"/>
    <mergeCell ref="B16:H16"/>
    <mergeCell ref="B65:J65"/>
    <mergeCell ref="L56:Q56"/>
    <mergeCell ref="A58:AB58"/>
    <mergeCell ref="A7:C8"/>
    <mergeCell ref="B68:J68"/>
    <mergeCell ref="A49:J49"/>
    <mergeCell ref="I7:K8"/>
    <mergeCell ref="A51:J51"/>
    <mergeCell ref="L52:Q52"/>
    <mergeCell ref="R55:AB55"/>
    <mergeCell ref="B64:J64"/>
    <mergeCell ref="M7:O8"/>
    <mergeCell ref="L49:Q49"/>
    <mergeCell ref="U7:W8"/>
    <mergeCell ref="A11:AB11"/>
    <mergeCell ref="R51:AB51"/>
    <mergeCell ref="B63:J63"/>
    <mergeCell ref="A1:AB1"/>
    <mergeCell ref="R54:AB54"/>
    <mergeCell ref="A70:AB70"/>
    <mergeCell ref="U9:W9"/>
    <mergeCell ref="R50:AB50"/>
    <mergeCell ref="A54:J54"/>
    <mergeCell ref="P72:AB74"/>
    <mergeCell ref="B62:J62"/>
    <mergeCell ref="I6:K6"/>
    <mergeCell ref="Y7:AA8"/>
    <mergeCell ref="U6:W6"/>
    <mergeCell ref="B14:H14"/>
    <mergeCell ref="R53:AB53"/>
    <mergeCell ref="B17:H17"/>
    <mergeCell ref="B13:H13"/>
    <mergeCell ref="R56:AB56"/>
    <mergeCell ref="A56:J56"/>
    <mergeCell ref="M9:O9"/>
    <mergeCell ref="B66:J66"/>
    <mergeCell ref="A6:C6"/>
    <mergeCell ref="Y9:AA9"/>
    <mergeCell ref="A55:J55"/>
    <mergeCell ref="A50:J50"/>
    <mergeCell ref="A72:N74"/>
    <mergeCell ref="L53:Q53"/>
    <mergeCell ref="E7:G8"/>
  </mergeCells>
  <conditionalFormatting sqref="B13:H13">
    <cfRule type="dataBar" priority="1">
      <dataBar showValue="1">
        <cfvo type="num" val="0"/>
        <cfvo type="num" val="1"/>
        <color rgb="004F81BD"/>
      </dataBar>
    </cfRule>
  </conditionalFormatting>
  <conditionalFormatting sqref="B14:H14">
    <cfRule type="dataBar" priority="2">
      <dataBar showValue="1">
        <cfvo type="num" val="0"/>
        <cfvo type="num" val="1"/>
        <color rgb="004F81BD"/>
      </dataBar>
    </cfRule>
  </conditionalFormatting>
  <conditionalFormatting sqref="B15:H15">
    <cfRule type="dataBar" priority="3">
      <dataBar showValue="1">
        <cfvo type="num" val="0"/>
        <cfvo type="num" val="1"/>
        <color rgb="004F81BD"/>
      </dataBar>
    </cfRule>
  </conditionalFormatting>
  <conditionalFormatting sqref="B16:H16">
    <cfRule type="dataBar" priority="4">
      <dataBar showValue="1">
        <cfvo type="num" val="0"/>
        <cfvo type="num" val="1"/>
        <color rgb="004F81BD"/>
      </dataBar>
    </cfRule>
  </conditionalFormatting>
  <conditionalFormatting sqref="B17:H17">
    <cfRule type="dataBar" priority="5">
      <dataBar showValue="1">
        <cfvo type="num" val="0"/>
        <cfvo type="num" val="1"/>
        <color rgb="004F81BD"/>
      </dataBar>
    </cfRule>
  </conditionalFormatting>
  <conditionalFormatting sqref="C22">
    <cfRule type="cellIs" priority="6" operator="equal" dxfId="1">
      <formula>"Weak Coverage"</formula>
    </cfRule>
    <cfRule type="cellIs" priority="7" operator="equal" dxfId="2">
      <formula>"OK"</formula>
    </cfRule>
  </conditionalFormatting>
  <conditionalFormatting sqref="C23">
    <cfRule type="cellIs" priority="8" operator="equal" dxfId="1">
      <formula>"Weak Coverage"</formula>
    </cfRule>
    <cfRule type="cellIs" priority="9" operator="equal" dxfId="2">
      <formula>"OK"</formula>
    </cfRule>
  </conditionalFormatting>
  <conditionalFormatting sqref="C24">
    <cfRule type="cellIs" priority="10" operator="equal" dxfId="1">
      <formula>"Weak Coverage"</formula>
    </cfRule>
    <cfRule type="cellIs" priority="11" operator="equal" dxfId="2">
      <formula>"OK"</formula>
    </cfRule>
  </conditionalFormatting>
  <conditionalFormatting sqref="C25">
    <cfRule type="cellIs" priority="12" operator="equal" dxfId="1">
      <formula>"Weak Coverage"</formula>
    </cfRule>
    <cfRule type="cellIs" priority="13" operator="equal" dxfId="2">
      <formula>"OK"</formula>
    </cfRule>
  </conditionalFormatting>
  <conditionalFormatting sqref="C26">
    <cfRule type="cellIs" priority="14" operator="equal" dxfId="1">
      <formula>"Weak Coverage"</formula>
    </cfRule>
    <cfRule type="cellIs" priority="15" operator="equal" dxfId="2">
      <formula>"OK"</formula>
    </cfRule>
  </conditionalFormatting>
  <conditionalFormatting sqref="C27">
    <cfRule type="cellIs" priority="16" operator="equal" dxfId="1">
      <formula>"Weak Coverage"</formula>
    </cfRule>
    <cfRule type="cellIs" priority="17" operator="equal" dxfId="2">
      <formula>"OK"</formula>
    </cfRule>
  </conditionalFormatting>
  <conditionalFormatting sqref="C28">
    <cfRule type="cellIs" priority="18" operator="equal" dxfId="1">
      <formula>"Weak Coverage"</formula>
    </cfRule>
    <cfRule type="cellIs" priority="19" operator="equal" dxfId="2">
      <formula>"OK"</formula>
    </cfRule>
  </conditionalFormatting>
  <conditionalFormatting sqref="C29">
    <cfRule type="cellIs" priority="20" operator="equal" dxfId="1">
      <formula>"Weak Coverage"</formula>
    </cfRule>
    <cfRule type="cellIs" priority="21" operator="equal" dxfId="2">
      <formula>"OK"</formula>
    </cfRule>
  </conditionalFormatting>
  <conditionalFormatting sqref="C30">
    <cfRule type="cellIs" priority="22" operator="equal" dxfId="1">
      <formula>"Weak Coverage"</formula>
    </cfRule>
    <cfRule type="cellIs" priority="23" operator="equal" dxfId="2">
      <formula>"OK"</formula>
    </cfRule>
  </conditionalFormatting>
  <conditionalFormatting sqref="C31">
    <cfRule type="cellIs" priority="24" operator="equal" dxfId="1">
      <formula>"Weak Coverage"</formula>
    </cfRule>
    <cfRule type="cellIs" priority="25" operator="equal" dxfId="2">
      <formula>"OK"</formula>
    </cfRule>
  </conditionalFormatting>
  <conditionalFormatting sqref="C32">
    <cfRule type="cellIs" priority="26" operator="equal" dxfId="1">
      <formula>"Weak Coverage"</formula>
    </cfRule>
    <cfRule type="cellIs" priority="27" operator="equal" dxfId="2">
      <formula>"OK"</formula>
    </cfRule>
  </conditionalFormatting>
  <conditionalFormatting sqref="C33">
    <cfRule type="cellIs" priority="28" operator="equal" dxfId="1">
      <formula>"Weak Coverage"</formula>
    </cfRule>
    <cfRule type="cellIs" priority="29" operator="equal" dxfId="2">
      <formula>"OK"</formula>
    </cfRule>
  </conditionalFormatting>
  <conditionalFormatting sqref="C34">
    <cfRule type="cellIs" priority="30" operator="equal" dxfId="1">
      <formula>"Weak Coverage"</formula>
    </cfRule>
    <cfRule type="cellIs" priority="31" operator="equal" dxfId="2">
      <formula>"OK"</formula>
    </cfRule>
  </conditionalFormatting>
  <conditionalFormatting sqref="C35">
    <cfRule type="cellIs" priority="32" operator="equal" dxfId="1">
      <formula>"Weak Coverage"</formula>
    </cfRule>
    <cfRule type="cellIs" priority="33" operator="equal" dxfId="2">
      <formula>"OK"</formula>
    </cfRule>
  </conditionalFormatting>
  <conditionalFormatting sqref="C36">
    <cfRule type="cellIs" priority="34" operator="equal" dxfId="1">
      <formula>"Weak Coverage"</formula>
    </cfRule>
    <cfRule type="cellIs" priority="35" operator="equal" dxfId="2">
      <formula>"OK"</formula>
    </cfRule>
  </conditionalFormatting>
  <conditionalFormatting sqref="C37">
    <cfRule type="cellIs" priority="36" operator="equal" dxfId="1">
      <formula>"Weak Coverage"</formula>
    </cfRule>
    <cfRule type="cellIs" priority="37" operator="equal" dxfId="2">
      <formula>"OK"</formula>
    </cfRule>
  </conditionalFormatting>
  <conditionalFormatting sqref="C38">
    <cfRule type="cellIs" priority="38" operator="equal" dxfId="1">
      <formula>"Weak Coverage"</formula>
    </cfRule>
    <cfRule type="cellIs" priority="39" operator="equal" dxfId="2">
      <formula>"OK"</formula>
    </cfRule>
  </conditionalFormatting>
  <conditionalFormatting sqref="C39">
    <cfRule type="cellIs" priority="40" operator="equal" dxfId="1">
      <formula>"Weak Coverage"</formula>
    </cfRule>
    <cfRule type="cellIs" priority="41" operator="equal" dxfId="2">
      <formula>"OK"</formula>
    </cfRule>
  </conditionalFormatting>
  <conditionalFormatting sqref="C40">
    <cfRule type="cellIs" priority="42" operator="equal" dxfId="1">
      <formula>"Weak Coverage"</formula>
    </cfRule>
    <cfRule type="cellIs" priority="43" operator="equal" dxfId="2">
      <formula>"OK"</formula>
    </cfRule>
  </conditionalFormatting>
  <conditionalFormatting sqref="C41">
    <cfRule type="cellIs" priority="44" operator="equal" dxfId="1">
      <formula>"Weak Coverage"</formula>
    </cfRule>
    <cfRule type="cellIs" priority="45" operator="equal" dxfId="2">
      <formula>"OK"</formula>
    </cfRule>
  </conditionalFormatting>
  <conditionalFormatting sqref="C42">
    <cfRule type="cellIs" priority="46" operator="equal" dxfId="1">
      <formula>"Weak Coverage"</formula>
    </cfRule>
    <cfRule type="cellIs" priority="47" operator="equal" dxfId="2">
      <formula>"OK"</formula>
    </cfRule>
  </conditionalFormatting>
  <conditionalFormatting sqref="C43">
    <cfRule type="cellIs" priority="48" operator="equal" dxfId="1">
      <formula>"Weak Coverage"</formula>
    </cfRule>
    <cfRule type="cellIs" priority="49" operator="equal" dxfId="2">
      <formula>"OK"</formula>
    </cfRule>
  </conditionalFormatting>
  <conditionalFormatting sqref="K49">
    <cfRule type="cellIs" priority="50" operator="equal" dxfId="2">
      <formula>0</formula>
    </cfRule>
    <cfRule type="cellIs" priority="51" operator="greaterThan" dxfId="3">
      <formula>0</formula>
    </cfRule>
  </conditionalFormatting>
  <conditionalFormatting sqref="K50">
    <cfRule type="cellIs" priority="52" operator="equal" dxfId="2">
      <formula>0</formula>
    </cfRule>
    <cfRule type="cellIs" priority="53" operator="greaterThan" dxfId="3">
      <formula>0</formula>
    </cfRule>
  </conditionalFormatting>
  <conditionalFormatting sqref="K51">
    <cfRule type="cellIs" priority="54" operator="equal" dxfId="2">
      <formula>0</formula>
    </cfRule>
    <cfRule type="cellIs" priority="55" operator="greaterThan" dxfId="3">
      <formula>0</formula>
    </cfRule>
  </conditionalFormatting>
  <conditionalFormatting sqref="K52">
    <cfRule type="cellIs" priority="56" operator="equal" dxfId="2">
      <formula>0</formula>
    </cfRule>
    <cfRule type="cellIs" priority="57" operator="greaterThan" dxfId="3">
      <formula>0</formula>
    </cfRule>
  </conditionalFormatting>
  <conditionalFormatting sqref="K53">
    <cfRule type="cellIs" priority="58" operator="equal" dxfId="2">
      <formula>0</formula>
    </cfRule>
    <cfRule type="cellIs" priority="59" operator="greaterThan" dxfId="3">
      <formula>0</formula>
    </cfRule>
  </conditionalFormatting>
  <conditionalFormatting sqref="K54">
    <cfRule type="cellIs" priority="60" operator="equal" dxfId="2">
      <formula>0</formula>
    </cfRule>
    <cfRule type="cellIs" priority="61" operator="greaterThan" dxfId="3">
      <formula>0</formula>
    </cfRule>
  </conditionalFormatting>
  <conditionalFormatting sqref="K55">
    <cfRule type="cellIs" priority="62" operator="equal" dxfId="2">
      <formula>0</formula>
    </cfRule>
    <cfRule type="cellIs" priority="63" operator="greaterThan" dxfId="3">
      <formula>0</formula>
    </cfRule>
  </conditionalFormatting>
  <conditionalFormatting sqref="K56">
    <cfRule type="cellIs" priority="64" operator="equal" dxfId="2">
      <formula>0</formula>
    </cfRule>
    <cfRule type="cellIs" priority="65" operator="greaterThan" dxfId="3">
      <formula>0</formula>
    </cfRule>
  </conditionalFormatting>
  <conditionalFormatting sqref="A60">
    <cfRule type="expression" priority="66" dxfId="2">
      <formula>IF('Launch Readiness'!B5&gt;0,"Yes","No")="Yes"</formula>
    </cfRule>
    <cfRule type="expression" priority="67" dxfId="1">
      <formula>IF('Launch Readiness'!B5&gt;0,"Yes","No")="No"</formula>
    </cfRule>
  </conditionalFormatting>
  <conditionalFormatting sqref="A61">
    <cfRule type="expression" priority="68" dxfId="2">
      <formula>IF('Launch Readiness'!B6&gt;0,"Yes","No")="Yes"</formula>
    </cfRule>
    <cfRule type="expression" priority="69" dxfId="1">
      <formula>IF('Launch Readiness'!B6&gt;0,"Yes","No")="No"</formula>
    </cfRule>
  </conditionalFormatting>
  <conditionalFormatting sqref="A62">
    <cfRule type="expression" priority="70" dxfId="2">
      <formula>IF('Launch Readiness'!B7&gt;0,"Yes","No")="Yes"</formula>
    </cfRule>
    <cfRule type="expression" priority="71" dxfId="1">
      <formula>IF('Launch Readiness'!B7&gt;0,"Yes","No")="No"</formula>
    </cfRule>
  </conditionalFormatting>
  <conditionalFormatting sqref="A63">
    <cfRule type="expression" priority="72" dxfId="2">
      <formula>IF('Launch Readiness'!B20=0,"Yes","No")="Yes"</formula>
    </cfRule>
    <cfRule type="expression" priority="73" dxfId="1">
      <formula>IF('Launch Readiness'!B20=0,"Yes","No")="No"</formula>
    </cfRule>
  </conditionalFormatting>
  <conditionalFormatting sqref="A64">
    <cfRule type="expression" priority="74" dxfId="2">
      <formula>IF('Launch Readiness'!B21=0,"Yes","No")="Yes"</formula>
    </cfRule>
    <cfRule type="expression" priority="75" dxfId="1">
      <formula>IF('Launch Readiness'!B21=0,"Yes","No")="No"</formula>
    </cfRule>
  </conditionalFormatting>
  <conditionalFormatting sqref="A65">
    <cfRule type="expression" priority="76" dxfId="2">
      <formula>IF('Launch Readiness'!B22=0,"Yes","No")="Yes"</formula>
    </cfRule>
    <cfRule type="expression" priority="77" dxfId="1">
      <formula>IF('Launch Readiness'!B22=0,"Yes","No")="No"</formula>
    </cfRule>
  </conditionalFormatting>
  <conditionalFormatting sqref="A66">
    <cfRule type="expression" priority="78" dxfId="2">
      <formula>IF('Launch Readiness'!B18=0,"Yes","No")="Yes"</formula>
    </cfRule>
    <cfRule type="expression" priority="79" dxfId="1">
      <formula>IF('Launch Readiness'!B18=0,"Yes","No")="No"</formula>
    </cfRule>
  </conditionalFormatting>
  <conditionalFormatting sqref="A67">
    <cfRule type="expression" priority="80" dxfId="2">
      <formula>IF('Launch Readiness'!B19=0,"Yes","No")="Yes"</formula>
    </cfRule>
    <cfRule type="expression" priority="81" dxfId="1">
      <formula>IF('Launch Readiness'!B19=0,"Yes","No")="No"</formula>
    </cfRule>
  </conditionalFormatting>
  <conditionalFormatting sqref="A68">
    <cfRule type="expression" priority="82" dxfId="2">
      <formula>IF('Launch Readiness'!B34&gt;=0.8,"Yes","No")="Yes"</formula>
    </cfRule>
    <cfRule type="expression" priority="83" dxfId="1">
      <formula>IF('Launch Readiness'!B34&gt;=0.8,"Yes","No")="No"</formula>
    </cfRule>
  </conditionalFormatting>
  <conditionalFormatting sqref="A72">
    <cfRule type="expression" priority="84" dxfId="0">
      <formula>'Launch Readiness'!B34&lt;0.5</formula>
    </cfRule>
    <cfRule type="expression" priority="85" dxfId="1">
      <formula>AND('Launch Readiness'!B34&gt;=0.5,'Launch Readiness'!B34&lt;0.8)</formula>
    </cfRule>
    <cfRule type="expression" priority="86" dxfId="2">
      <formula>'Launch Readiness'!B34&gt;=0.8</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R67"/>
  <sheetViews>
    <sheetView showGridLines="0" workbookViewId="0">
      <pane ySplit="3" topLeftCell="A4" activePane="bottomLeft" state="frozen"/>
      <selection pane="bottomLeft" activeCell="A1" sqref="A1"/>
    </sheetView>
  </sheetViews>
  <sheetFormatPr baseColWidth="8" defaultRowHeight="15"/>
  <cols>
    <col width="30" customWidth="1" min="1" max="1"/>
    <col width="26" customWidth="1" min="2" max="2"/>
    <col width="26" customWidth="1" min="3" max="3"/>
    <col width="26" customWidth="1" min="4" max="4"/>
    <col width="24" customWidth="1" min="5" max="5"/>
    <col width="18" customWidth="1" min="6" max="6"/>
    <col width="30" customWidth="1" min="7" max="7"/>
    <col width="12" customWidth="1" min="8" max="8"/>
    <col width="11" customWidth="1" min="9" max="9"/>
    <col width="11" customWidth="1" min="10" max="10"/>
    <col width="11" customWidth="1" min="11" max="11"/>
    <col width="18" customWidth="1" min="12" max="12"/>
    <col width="13" customWidth="1" min="13" max="13"/>
    <col width="22" customWidth="1" min="14" max="14"/>
    <col width="15" customWidth="1" min="15" max="15"/>
    <col width="22" customWidth="1" min="16" max="16"/>
    <col width="10" customWidth="1" min="17" max="17"/>
    <col width="13" customWidth="1" min="18" max="18"/>
  </cols>
  <sheetData>
    <row r="1">
      <c r="A1" s="1" t="inlineStr">
        <is>
          <t>OPERATIONS VIEW - daily ops workspace: 62 imported quests + 2 pending CRM leads not yet imported.</t>
        </is>
      </c>
    </row>
    <row r="3">
      <c r="A3" s="2" t="inlineStr">
        <is>
          <t>Record Type</t>
        </is>
      </c>
      <c r="B3" s="2" t="inlineStr">
        <is>
          <t>Slug</t>
        </is>
      </c>
      <c r="C3" s="4" t="inlineStr">
        <is>
          <t>Quest Title</t>
        </is>
      </c>
      <c r="D3" s="4" t="inlineStr">
        <is>
          <t>Venue</t>
        </is>
      </c>
      <c r="E3" s="3" t="inlineStr">
        <is>
          <t>Partner</t>
        </is>
      </c>
      <c r="F3" s="4" t="inlineStr">
        <is>
          <t>Neighborhood</t>
        </is>
      </c>
      <c r="G3" s="4" t="inlineStr">
        <is>
          <t>Address</t>
        </is>
      </c>
      <c r="H3" s="4" t="inlineStr">
        <is>
          <t>Category</t>
        </is>
      </c>
      <c r="I3" s="4" t="inlineStr">
        <is>
          <t>Website</t>
        </is>
      </c>
      <c r="J3" s="4" t="inlineStr">
        <is>
          <t>Reviews</t>
        </is>
      </c>
      <c r="K3" s="4" t="inlineStr">
        <is>
          <t>Instagram</t>
        </is>
      </c>
      <c r="L3" s="5" t="inlineStr">
        <is>
          <t>Outreach Status</t>
        </is>
      </c>
      <c r="M3" s="5" t="inlineStr">
        <is>
          <t>Partner Status</t>
        </is>
      </c>
      <c r="N3" s="5" t="inlineStr">
        <is>
          <t>Asset Status</t>
        </is>
      </c>
      <c r="O3" s="5" t="inlineStr">
        <is>
          <t>Verification Status</t>
        </is>
      </c>
      <c r="P3" s="5" t="inlineStr">
        <is>
          <t>Launch Status</t>
        </is>
      </c>
      <c r="Q3" s="5" t="inlineStr">
        <is>
          <t>Priority</t>
        </is>
      </c>
      <c r="R3" s="5" t="inlineStr">
        <is>
          <t>Last Updated</t>
        </is>
      </c>
    </row>
    <row r="4">
      <c r="A4" s="67" t="inlineStr">
        <is>
          <t>Imported Quest</t>
        </is>
      </c>
      <c r="B4" s="6" t="inlineStr">
        <is>
          <t>rubell-museum-allapattah</t>
        </is>
      </c>
      <c r="C4" s="6" t="inlineStr">
        <is>
          <t>The Collectors' Warehouse</t>
        </is>
      </c>
      <c r="D4" s="6" t="inlineStr">
        <is>
          <t>Rubell Museum</t>
        </is>
      </c>
      <c r="E4" s="6" t="inlineStr">
        <is>
          <t>Rubell Museum</t>
        </is>
      </c>
      <c r="F4" s="6" t="inlineStr">
        <is>
          <t>Allapattah</t>
        </is>
      </c>
      <c r="G4" s="6" t="inlineStr">
        <is>
          <t>1100 NW 23rd St, Miami, FL 33127</t>
        </is>
      </c>
      <c r="H4" s="6" t="inlineStr">
        <is>
          <t>art</t>
        </is>
      </c>
      <c r="I4" s="9" t="inlineStr">
        <is>
          <t>Website</t>
        </is>
      </c>
      <c r="J4" s="9" t="inlineStr">
        <is>
          <t>Reviews</t>
        </is>
      </c>
      <c r="K4" s="9" t="inlineStr">
        <is>
          <t>Instagram</t>
        </is>
      </c>
      <c r="L4" s="7" t="inlineStr">
        <is>
          <t>No Outreach Needed</t>
        </is>
      </c>
      <c r="M4" s="7" t="inlineStr">
        <is>
          <t>active</t>
        </is>
      </c>
      <c r="N4" s="12" t="inlineStr">
        <is>
          <t>Needs Sourcing</t>
        </is>
      </c>
      <c r="O4" s="6" t="inlineStr">
        <is>
          <t>verified</t>
        </is>
      </c>
      <c r="P4" s="12" t="inlineStr">
        <is>
          <t>Asset Sourcing In Progress</t>
        </is>
      </c>
      <c r="Q4" s="18" t="inlineStr">
        <is>
          <t>Medium</t>
        </is>
      </c>
      <c r="R4" s="6" t="inlineStr">
        <is>
          <t>2026-07-07</t>
        </is>
      </c>
    </row>
    <row r="5">
      <c r="A5" s="67" t="inlineStr">
        <is>
          <t>Imported Quest</t>
        </is>
      </c>
      <c r="B5" s="13" t="inlineStr">
        <is>
          <t>superblue-miami</t>
        </is>
      </c>
      <c r="C5" s="13" t="inlineStr">
        <is>
          <t>Step Inside the Art</t>
        </is>
      </c>
      <c r="D5" s="13" t="inlineStr">
        <is>
          <t>Superblue Miami</t>
        </is>
      </c>
      <c r="E5" s="13" t="inlineStr">
        <is>
          <t>Superblue Miami</t>
        </is>
      </c>
      <c r="F5" s="13" t="inlineStr">
        <is>
          <t>Allapattah</t>
        </is>
      </c>
      <c r="G5" s="13" t="inlineStr">
        <is>
          <t>1101 NW 23rd St, Miami, FL 33127</t>
        </is>
      </c>
      <c r="H5" s="13" t="inlineStr">
        <is>
          <t>art</t>
        </is>
      </c>
      <c r="I5" s="15" t="inlineStr">
        <is>
          <t>Website</t>
        </is>
      </c>
      <c r="J5" s="15" t="inlineStr">
        <is>
          <t>Reviews</t>
        </is>
      </c>
      <c r="K5" s="15" t="inlineStr">
        <is>
          <t>Instagram</t>
        </is>
      </c>
      <c r="L5" s="7" t="inlineStr">
        <is>
          <t>No Outreach Needed</t>
        </is>
      </c>
      <c r="M5" s="7" t="inlineStr">
        <is>
          <t>active</t>
        </is>
      </c>
      <c r="N5" s="12" t="inlineStr">
        <is>
          <t>Needs Sourcing</t>
        </is>
      </c>
      <c r="O5" s="13" t="inlineStr">
        <is>
          <t>verified</t>
        </is>
      </c>
      <c r="P5" s="12" t="inlineStr">
        <is>
          <t>Asset Sourcing In Progress</t>
        </is>
      </c>
      <c r="Q5" s="18" t="inlineStr">
        <is>
          <t>Medium</t>
        </is>
      </c>
      <c r="R5" s="13" t="inlineStr">
        <is>
          <t>2026-07-07</t>
        </is>
      </c>
    </row>
    <row r="6">
      <c r="A6" s="67" t="inlineStr">
        <is>
          <t>Imported Quest</t>
        </is>
      </c>
      <c r="B6" s="6" t="inlineStr">
        <is>
          <t>standard-spa-miami-beach</t>
        </is>
      </c>
      <c r="C6" s="6" t="inlineStr">
        <is>
          <t>Island of Calm</t>
        </is>
      </c>
      <c r="D6" s="6" t="inlineStr">
        <is>
          <t>The Standard Spa, Miami Beach</t>
        </is>
      </c>
      <c r="E6" s="6" t="inlineStr">
        <is>
          <t>The Standard Spa, Miami Beach</t>
        </is>
      </c>
      <c r="F6" s="6" t="inlineStr">
        <is>
          <t>Belle Isle / South Beach</t>
        </is>
      </c>
      <c r="G6" s="6" t="inlineStr">
        <is>
          <t>40 Island Ave, Miami Beach, FL 33139</t>
        </is>
      </c>
      <c r="H6" s="6" t="inlineStr">
        <is>
          <t>fitness</t>
        </is>
      </c>
      <c r="I6" s="9" t="inlineStr">
        <is>
          <t>Website</t>
        </is>
      </c>
      <c r="J6" s="9" t="inlineStr">
        <is>
          <t>Reviews</t>
        </is>
      </c>
      <c r="K6" s="9" t="inlineStr">
        <is>
          <t>Instagram</t>
        </is>
      </c>
      <c r="L6" s="7" t="inlineStr">
        <is>
          <t>No Outreach Needed</t>
        </is>
      </c>
      <c r="M6" s="7" t="inlineStr">
        <is>
          <t>active</t>
        </is>
      </c>
      <c r="N6" s="12" t="inlineStr">
        <is>
          <t>Needs Sourcing</t>
        </is>
      </c>
      <c r="O6" s="6" t="inlineStr">
        <is>
          <t>verified</t>
        </is>
      </c>
      <c r="P6" s="12" t="inlineStr">
        <is>
          <t>Asset Sourcing In Progress</t>
        </is>
      </c>
      <c r="Q6" s="18" t="inlineStr">
        <is>
          <t>Medium</t>
        </is>
      </c>
      <c r="R6" s="6" t="inlineStr">
        <is>
          <t>2026-07-07</t>
        </is>
      </c>
    </row>
    <row r="7">
      <c r="A7" s="67" t="inlineStr">
        <is>
          <t>Imported Quest</t>
        </is>
      </c>
      <c r="B7" s="13" t="inlineStr">
        <is>
          <t>brickell-city-centre</t>
        </is>
      </c>
      <c r="C7" s="13" t="inlineStr">
        <is>
          <t>The Vertical City</t>
        </is>
      </c>
      <c r="D7" s="13" t="inlineStr">
        <is>
          <t>Brickell City Centre</t>
        </is>
      </c>
      <c r="E7" s="13" t="inlineStr">
        <is>
          <t>Brickell City Centre</t>
        </is>
      </c>
      <c r="F7" s="13" t="inlineStr">
        <is>
          <t>Brickell</t>
        </is>
      </c>
      <c r="G7" s="13" t="inlineStr">
        <is>
          <t>701 S Miami Ave, Miami, FL 33131</t>
        </is>
      </c>
      <c r="H7" s="13" t="inlineStr">
        <is>
          <t>shopping</t>
        </is>
      </c>
      <c r="I7" s="15" t="inlineStr">
        <is>
          <t>Website</t>
        </is>
      </c>
      <c r="J7" s="15" t="inlineStr">
        <is>
          <t>Reviews</t>
        </is>
      </c>
      <c r="K7" s="15" t="inlineStr">
        <is>
          <t>Instagram</t>
        </is>
      </c>
      <c r="L7" s="7" t="inlineStr">
        <is>
          <t>No Outreach Needed</t>
        </is>
      </c>
      <c r="M7" s="7" t="inlineStr">
        <is>
          <t>active</t>
        </is>
      </c>
      <c r="N7" s="12" t="inlineStr">
        <is>
          <t>Needs Sourcing</t>
        </is>
      </c>
      <c r="O7" s="13" t="inlineStr">
        <is>
          <t>verified</t>
        </is>
      </c>
      <c r="P7" s="12" t="inlineStr">
        <is>
          <t>Asset Sourcing In Progress</t>
        </is>
      </c>
      <c r="Q7" s="18" t="inlineStr">
        <is>
          <t>Medium</t>
        </is>
      </c>
      <c r="R7" s="13" t="inlineStr">
        <is>
          <t>2026-07-07</t>
        </is>
      </c>
    </row>
    <row r="8">
      <c r="A8" s="67" t="inlineStr">
        <is>
          <t>Imported Quest</t>
        </is>
      </c>
      <c r="B8" s="6" t="inlineStr">
        <is>
          <t>komodo-brickell</t>
        </is>
      </c>
      <c r="C8" s="6" t="inlineStr">
        <is>
          <t>Dragon Hunting in Brickell</t>
        </is>
      </c>
      <c r="D8" s="6" t="inlineStr">
        <is>
          <t>Komodo Miami</t>
        </is>
      </c>
      <c r="E8" s="6" t="inlineStr">
        <is>
          <t>Komodo Miami</t>
        </is>
      </c>
      <c r="F8" s="6" t="inlineStr">
        <is>
          <t>Brickell</t>
        </is>
      </c>
      <c r="G8" s="6" t="inlineStr">
        <is>
          <t>801 Brickell Ave, Miami, FL 33131</t>
        </is>
      </c>
      <c r="H8" s="6" t="inlineStr">
        <is>
          <t>food</t>
        </is>
      </c>
      <c r="I8" s="9" t="inlineStr">
        <is>
          <t>Website</t>
        </is>
      </c>
      <c r="J8" s="9" t="inlineStr">
        <is>
          <t>Reviews</t>
        </is>
      </c>
      <c r="K8" s="9" t="inlineStr">
        <is>
          <t>Instagram</t>
        </is>
      </c>
      <c r="L8" s="7" t="inlineStr">
        <is>
          <t>No Outreach Needed</t>
        </is>
      </c>
      <c r="M8" s="7" t="inlineStr">
        <is>
          <t>active</t>
        </is>
      </c>
      <c r="N8" s="12" t="inlineStr">
        <is>
          <t>Needs Sourcing</t>
        </is>
      </c>
      <c r="O8" s="6" t="inlineStr">
        <is>
          <t>verified</t>
        </is>
      </c>
      <c r="P8" s="12" t="inlineStr">
        <is>
          <t>Asset Sourcing In Progress</t>
        </is>
      </c>
      <c r="Q8" s="18" t="inlineStr">
        <is>
          <t>Medium</t>
        </is>
      </c>
      <c r="R8" s="6" t="inlineStr">
        <is>
          <t>2026-07-07</t>
        </is>
      </c>
    </row>
    <row r="9">
      <c r="A9" s="67" t="inlineStr">
        <is>
          <t>Imported Quest</t>
        </is>
      </c>
      <c r="B9" s="13" t="inlineStr">
        <is>
          <t>miami-circle-brickell</t>
        </is>
      </c>
      <c r="C9" s="13" t="inlineStr">
        <is>
          <t>The 2,000-Year-Old Circle</t>
        </is>
      </c>
      <c r="D9" s="13" t="inlineStr">
        <is>
          <t>Miami Circle Park</t>
        </is>
      </c>
      <c r="E9" s="13" t="inlineStr">
        <is>
          <t>Miami Circle at Brickell Point</t>
        </is>
      </c>
      <c r="F9" s="13" t="inlineStr">
        <is>
          <t>Brickell</t>
        </is>
      </c>
      <c r="G9" s="13" t="inlineStr">
        <is>
          <t>401 Brickell Ave, Miami, FL 33131</t>
        </is>
      </c>
      <c r="H9" s="13" t="inlineStr">
        <is>
          <t>culture</t>
        </is>
      </c>
      <c r="I9" s="15" t="inlineStr">
        <is>
          <t>Website</t>
        </is>
      </c>
      <c r="J9" s="15" t="inlineStr">
        <is>
          <t>Reviews</t>
        </is>
      </c>
      <c r="K9" s="13" t="n"/>
      <c r="L9" s="18" t="inlineStr">
        <is>
          <t>Needs Follow-up</t>
        </is>
      </c>
      <c r="M9" s="7" t="inlineStr">
        <is>
          <t>active</t>
        </is>
      </c>
      <c r="N9" s="12" t="inlineStr">
        <is>
          <t>Needs Sourcing</t>
        </is>
      </c>
      <c r="O9" s="13" t="inlineStr">
        <is>
          <t>verified</t>
        </is>
      </c>
      <c r="P9" s="12" t="inlineStr">
        <is>
          <t>Asset Sourcing In Progress</t>
        </is>
      </c>
      <c r="Q9" s="18" t="inlineStr">
        <is>
          <t>Medium</t>
        </is>
      </c>
      <c r="R9" s="13" t="inlineStr">
        <is>
          <t>2026-07-07</t>
        </is>
      </c>
    </row>
    <row r="10">
      <c r="A10" s="67" t="inlineStr">
        <is>
          <t>Imported Quest</t>
        </is>
      </c>
      <c r="B10" s="6" t="inlineStr">
        <is>
          <t>pasion-del-cielo-brickell</t>
        </is>
      </c>
      <c r="C10" s="6" t="inlineStr">
        <is>
          <t>Heaven on Brickell</t>
        </is>
      </c>
      <c r="D10" s="6" t="inlineStr">
        <is>
          <t>Pasión del Cielo Coffee - Brickell</t>
        </is>
      </c>
      <c r="E10" s="6" t="inlineStr">
        <is>
          <t>Pasión del Cielo Coffee</t>
        </is>
      </c>
      <c r="F10" s="6" t="inlineStr">
        <is>
          <t>Brickell</t>
        </is>
      </c>
      <c r="G10" s="6" t="inlineStr">
        <is>
          <t>907 Brickell Ave, Miami, FL 33131</t>
        </is>
      </c>
      <c r="H10" s="6" t="inlineStr">
        <is>
          <t>food</t>
        </is>
      </c>
      <c r="I10" s="9" t="inlineStr">
        <is>
          <t>Website</t>
        </is>
      </c>
      <c r="J10" s="9" t="inlineStr">
        <is>
          <t>Reviews</t>
        </is>
      </c>
      <c r="K10" s="9" t="inlineStr">
        <is>
          <t>Instagram</t>
        </is>
      </c>
      <c r="L10" s="7" t="inlineStr">
        <is>
          <t>No Outreach Needed</t>
        </is>
      </c>
      <c r="M10" s="7" t="inlineStr">
        <is>
          <t>active</t>
        </is>
      </c>
      <c r="N10" s="12" t="inlineStr">
        <is>
          <t>Needs Sourcing</t>
        </is>
      </c>
      <c r="O10" s="6" t="inlineStr">
        <is>
          <t>verified</t>
        </is>
      </c>
      <c r="P10" s="12" t="inlineStr">
        <is>
          <t>Asset Sourcing In Progress</t>
        </is>
      </c>
      <c r="Q10" s="18" t="inlineStr">
        <is>
          <t>Medium</t>
        </is>
      </c>
      <c r="R10" s="6" t="inlineStr">
        <is>
          <t>2026-07-07</t>
        </is>
      </c>
    </row>
    <row r="11">
      <c r="A11" s="67" t="inlineStr">
        <is>
          <t>Imported Quest</t>
        </is>
      </c>
      <c r="B11" s="13" t="inlineStr">
        <is>
          <t>sexy-fish-brickell</t>
        </is>
      </c>
      <c r="C11" s="13" t="inlineStr">
        <is>
          <t>Something's Fishy</t>
        </is>
      </c>
      <c r="D11" s="13" t="inlineStr">
        <is>
          <t>Sexy Fish Miami</t>
        </is>
      </c>
      <c r="E11" s="13" t="inlineStr">
        <is>
          <t>Sexy Fish Miami</t>
        </is>
      </c>
      <c r="F11" s="13" t="inlineStr">
        <is>
          <t>Brickell</t>
        </is>
      </c>
      <c r="G11" s="13" t="inlineStr">
        <is>
          <t>1001 S Miami Ave, Miami, FL 33130</t>
        </is>
      </c>
      <c r="H11" s="13" t="inlineStr">
        <is>
          <t>food</t>
        </is>
      </c>
      <c r="I11" s="15" t="inlineStr">
        <is>
          <t>Website</t>
        </is>
      </c>
      <c r="J11" s="15" t="inlineStr">
        <is>
          <t>Reviews</t>
        </is>
      </c>
      <c r="K11" s="15" t="inlineStr">
        <is>
          <t>Instagram</t>
        </is>
      </c>
      <c r="L11" s="7" t="inlineStr">
        <is>
          <t>No Outreach Needed</t>
        </is>
      </c>
      <c r="M11" s="7" t="inlineStr">
        <is>
          <t>active</t>
        </is>
      </c>
      <c r="N11" s="12" t="inlineStr">
        <is>
          <t>Needs Sourcing</t>
        </is>
      </c>
      <c r="O11" s="13" t="inlineStr">
        <is>
          <t>verified</t>
        </is>
      </c>
      <c r="P11" s="12" t="inlineStr">
        <is>
          <t>Asset Sourcing In Progress</t>
        </is>
      </c>
      <c r="Q11" s="18" t="inlineStr">
        <is>
          <t>Medium</t>
        </is>
      </c>
      <c r="R11" s="13" t="inlineStr">
        <is>
          <t>2026-07-07</t>
        </is>
      </c>
    </row>
    <row r="12">
      <c r="A12" s="67" t="inlineStr">
        <is>
          <t>Imported Quest</t>
        </is>
      </c>
      <c r="B12" s="6" t="inlineStr">
        <is>
          <t>sugar-rooftop-east-miami</t>
        </is>
      </c>
      <c r="C12" s="6" t="inlineStr">
        <is>
          <t>Forty Floors Up</t>
        </is>
      </c>
      <c r="D12" s="6" t="inlineStr">
        <is>
          <t>Sugar Rooftop at EAST, Miami</t>
        </is>
      </c>
      <c r="E12" s="6" t="inlineStr">
        <is>
          <t>Sugar</t>
        </is>
      </c>
      <c r="F12" s="6" t="inlineStr">
        <is>
          <t>Brickell</t>
        </is>
      </c>
      <c r="G12" s="6" t="inlineStr">
        <is>
          <t>788 Brickell Plaza, Floor 40, Miami, FL 33131</t>
        </is>
      </c>
      <c r="H12" s="6" t="inlineStr">
        <is>
          <t>nightlife</t>
        </is>
      </c>
      <c r="I12" s="9" t="inlineStr">
        <is>
          <t>Website</t>
        </is>
      </c>
      <c r="J12" s="9" t="inlineStr">
        <is>
          <t>Reviews</t>
        </is>
      </c>
      <c r="K12" s="9" t="inlineStr">
        <is>
          <t>Instagram</t>
        </is>
      </c>
      <c r="L12" s="7" t="inlineStr">
        <is>
          <t>No Outreach Needed</t>
        </is>
      </c>
      <c r="M12" s="7" t="inlineStr">
        <is>
          <t>active</t>
        </is>
      </c>
      <c r="N12" s="12" t="inlineStr">
        <is>
          <t>Needs Sourcing</t>
        </is>
      </c>
      <c r="O12" s="6" t="inlineStr">
        <is>
          <t>verified</t>
        </is>
      </c>
      <c r="P12" s="12" t="inlineStr">
        <is>
          <t>Asset Sourcing In Progress</t>
        </is>
      </c>
      <c r="Q12" s="18" t="inlineStr">
        <is>
          <t>Medium</t>
        </is>
      </c>
      <c r="R12" s="6" t="inlineStr">
        <is>
          <t>2026-07-07</t>
        </is>
      </c>
    </row>
    <row r="13">
      <c r="A13" s="67" t="inlineStr">
        <is>
          <t>Imported Quest</t>
        </is>
      </c>
      <c r="B13" s="13" t="inlineStr">
        <is>
          <t>tea-room-east-miami</t>
        </is>
      </c>
      <c r="C13" s="13" t="inlineStr">
        <is>
          <t>High Tea, Literally</t>
        </is>
      </c>
      <c r="D13" s="13" t="inlineStr">
        <is>
          <t>Tea Room at EAST, Miami</t>
        </is>
      </c>
      <c r="E13" s="13" t="inlineStr">
        <is>
          <t>Tea Room</t>
        </is>
      </c>
      <c r="F13" s="13" t="inlineStr">
        <is>
          <t>Brickell</t>
        </is>
      </c>
      <c r="G13" s="13" t="inlineStr">
        <is>
          <t>788 Brickell Plaza, Miami, FL 33131</t>
        </is>
      </c>
      <c r="H13" s="13" t="inlineStr">
        <is>
          <t>nightlife</t>
        </is>
      </c>
      <c r="I13" s="15" t="inlineStr">
        <is>
          <t>Website</t>
        </is>
      </c>
      <c r="J13" s="15" t="inlineStr">
        <is>
          <t>Reviews</t>
        </is>
      </c>
      <c r="K13" s="15" t="inlineStr">
        <is>
          <t>Instagram</t>
        </is>
      </c>
      <c r="L13" s="7" t="inlineStr">
        <is>
          <t>No Outreach Needed</t>
        </is>
      </c>
      <c r="M13" s="7" t="inlineStr">
        <is>
          <t>active</t>
        </is>
      </c>
      <c r="N13" s="12" t="inlineStr">
        <is>
          <t>Needs Sourcing</t>
        </is>
      </c>
      <c r="O13" s="13" t="inlineStr">
        <is>
          <t>verified</t>
        </is>
      </c>
      <c r="P13" s="12" t="inlineStr">
        <is>
          <t>Asset Sourcing In Progress</t>
        </is>
      </c>
      <c r="Q13" s="18" t="inlineStr">
        <is>
          <t>Medium</t>
        </is>
      </c>
      <c r="R13" s="13" t="inlineStr">
        <is>
          <t>2026-07-07</t>
        </is>
      </c>
    </row>
    <row r="14">
      <c r="A14" s="67" t="inlineStr">
        <is>
          <t>Imported Quest</t>
        </is>
      </c>
      <c r="B14" s="6" t="inlineStr">
        <is>
          <t>midorie-coconut-grove</t>
        </is>
      </c>
      <c r="C14" s="6" t="inlineStr">
        <is>
          <t>Lost in the Grove</t>
        </is>
      </c>
      <c r="D14" s="6" t="inlineStr">
        <is>
          <t>Midorie Miami</t>
        </is>
      </c>
      <c r="E14" s="6" t="inlineStr">
        <is>
          <t>Midorie Miami</t>
        </is>
      </c>
      <c r="F14" s="6" t="inlineStr">
        <is>
          <t>Coconut Grove</t>
        </is>
      </c>
      <c r="G14" s="6" t="inlineStr">
        <is>
          <t>3444 Main Hwy, Miami, FL 33133</t>
        </is>
      </c>
      <c r="H14" s="6" t="inlineStr">
        <is>
          <t>hidden_gem</t>
        </is>
      </c>
      <c r="I14" s="9" t="inlineStr">
        <is>
          <t>Website</t>
        </is>
      </c>
      <c r="J14" s="9" t="inlineStr">
        <is>
          <t>Reviews</t>
        </is>
      </c>
      <c r="K14" s="9" t="inlineStr">
        <is>
          <t>Instagram</t>
        </is>
      </c>
      <c r="L14" s="7" t="inlineStr">
        <is>
          <t>No Outreach Needed</t>
        </is>
      </c>
      <c r="M14" s="7" t="inlineStr">
        <is>
          <t>active</t>
        </is>
      </c>
      <c r="N14" s="12" t="inlineStr">
        <is>
          <t>Needs Sourcing</t>
        </is>
      </c>
      <c r="O14" s="6" t="inlineStr">
        <is>
          <t>verified</t>
        </is>
      </c>
      <c r="P14" s="12" t="inlineStr">
        <is>
          <t>Asset Sourcing In Progress</t>
        </is>
      </c>
      <c r="Q14" s="18" t="inlineStr">
        <is>
          <t>Medium</t>
        </is>
      </c>
      <c r="R14" s="6" t="inlineStr">
        <is>
          <t>2026-07-07</t>
        </is>
      </c>
    </row>
    <row r="15">
      <c r="A15" s="67" t="inlineStr">
        <is>
          <t>Imported Quest</t>
        </is>
      </c>
      <c r="B15" s="13" t="inlineStr">
        <is>
          <t>regatta-harbour-coconut-grove</t>
        </is>
      </c>
      <c r="C15" s="13" t="inlineStr">
        <is>
          <t>Dinner Key Discovery</t>
        </is>
      </c>
      <c r="D15" s="13" t="inlineStr">
        <is>
          <t>Regatta Harbour</t>
        </is>
      </c>
      <c r="E15" s="13" t="inlineStr">
        <is>
          <t>Regatta Harbour</t>
        </is>
      </c>
      <c r="F15" s="13" t="inlineStr">
        <is>
          <t>Coconut Grove</t>
        </is>
      </c>
      <c r="G15" s="13" t="inlineStr">
        <is>
          <t>3385 Pan American Dr, Miami, FL 33133</t>
        </is>
      </c>
      <c r="H15" s="13" t="inlineStr">
        <is>
          <t>outdoors</t>
        </is>
      </c>
      <c r="I15" s="15" t="inlineStr">
        <is>
          <t>Website</t>
        </is>
      </c>
      <c r="J15" s="15" t="inlineStr">
        <is>
          <t>Reviews</t>
        </is>
      </c>
      <c r="K15" s="15" t="inlineStr">
        <is>
          <t>Instagram</t>
        </is>
      </c>
      <c r="L15" s="7" t="inlineStr">
        <is>
          <t>No Outreach Needed</t>
        </is>
      </c>
      <c r="M15" s="7" t="inlineStr">
        <is>
          <t>active</t>
        </is>
      </c>
      <c r="N15" s="12" t="inlineStr">
        <is>
          <t>Needs Sourcing</t>
        </is>
      </c>
      <c r="O15" s="13" t="inlineStr">
        <is>
          <t>verified</t>
        </is>
      </c>
      <c r="P15" s="12" t="inlineStr">
        <is>
          <t>Asset Sourcing In Progress</t>
        </is>
      </c>
      <c r="Q15" s="18" t="inlineStr">
        <is>
          <t>Medium</t>
        </is>
      </c>
      <c r="R15" s="13" t="inlineStr">
        <is>
          <t>2026-07-07</t>
        </is>
      </c>
    </row>
    <row r="16">
      <c r="A16" s="67" t="inlineStr">
        <is>
          <t>Imported Quest</t>
        </is>
      </c>
      <c r="B16" s="6" t="inlineStr">
        <is>
          <t>the-kampong-coconut-grove</t>
        </is>
      </c>
      <c r="C16" s="6" t="inlineStr">
        <is>
          <t>The Secret Garden of the Grove</t>
        </is>
      </c>
      <c r="D16" s="6" t="inlineStr">
        <is>
          <t>The Kampong (National Tropical Botanical Garden)</t>
        </is>
      </c>
      <c r="E16" s="6" t="inlineStr">
        <is>
          <t>The Kampong</t>
        </is>
      </c>
      <c r="F16" s="6" t="inlineStr">
        <is>
          <t>Coconut Grove</t>
        </is>
      </c>
      <c r="G16" s="6" t="inlineStr">
        <is>
          <t>4013 S Douglas Rd, Miami, FL 33133</t>
        </is>
      </c>
      <c r="H16" s="6" t="inlineStr">
        <is>
          <t>outdoors</t>
        </is>
      </c>
      <c r="I16" s="9" t="inlineStr">
        <is>
          <t>Website</t>
        </is>
      </c>
      <c r="J16" s="9" t="inlineStr">
        <is>
          <t>Reviews</t>
        </is>
      </c>
      <c r="K16" s="9" t="inlineStr">
        <is>
          <t>Instagram</t>
        </is>
      </c>
      <c r="L16" s="7" t="inlineStr">
        <is>
          <t>No Outreach Needed</t>
        </is>
      </c>
      <c r="M16" s="7" t="inlineStr">
        <is>
          <t>active</t>
        </is>
      </c>
      <c r="N16" s="12" t="inlineStr">
        <is>
          <t>Needs Sourcing</t>
        </is>
      </c>
      <c r="O16" s="6" t="inlineStr">
        <is>
          <t>verified</t>
        </is>
      </c>
      <c r="P16" s="12" t="inlineStr">
        <is>
          <t>Asset Sourcing In Progress</t>
        </is>
      </c>
      <c r="Q16" s="18" t="inlineStr">
        <is>
          <t>Medium</t>
        </is>
      </c>
      <c r="R16" s="6" t="inlineStr">
        <is>
          <t>2026-07-07</t>
        </is>
      </c>
    </row>
    <row r="17">
      <c r="A17" s="67" t="inlineStr">
        <is>
          <t>Imported Quest</t>
        </is>
      </c>
      <c r="B17" s="13" t="inlineStr">
        <is>
          <t>bachour-coral-gables</t>
        </is>
      </c>
      <c r="C17" s="13" t="inlineStr">
        <is>
          <t>The Pastry Michelin Knows</t>
        </is>
      </c>
      <c r="D17" s="13" t="inlineStr">
        <is>
          <t>Bachour Coral Gables</t>
        </is>
      </c>
      <c r="E17" s="13" t="inlineStr">
        <is>
          <t>Bachour</t>
        </is>
      </c>
      <c r="F17" s="13" t="inlineStr">
        <is>
          <t>Coral Gables</t>
        </is>
      </c>
      <c r="G17" s="13" t="inlineStr">
        <is>
          <t>2020 Salzedo St, Coral Gables, FL 33134</t>
        </is>
      </c>
      <c r="H17" s="13" t="inlineStr">
        <is>
          <t>food</t>
        </is>
      </c>
      <c r="I17" s="15" t="inlineStr">
        <is>
          <t>Website</t>
        </is>
      </c>
      <c r="J17" s="15" t="inlineStr">
        <is>
          <t>Reviews</t>
        </is>
      </c>
      <c r="K17" s="15" t="inlineStr">
        <is>
          <t>Instagram</t>
        </is>
      </c>
      <c r="L17" s="7" t="inlineStr">
        <is>
          <t>No Outreach Needed</t>
        </is>
      </c>
      <c r="M17" s="7" t="inlineStr">
        <is>
          <t>active</t>
        </is>
      </c>
      <c r="N17" s="12" t="inlineStr">
        <is>
          <t>Needs Sourcing</t>
        </is>
      </c>
      <c r="O17" s="13" t="inlineStr">
        <is>
          <t>verified</t>
        </is>
      </c>
      <c r="P17" s="12" t="inlineStr">
        <is>
          <t>Asset Sourcing In Progress</t>
        </is>
      </c>
      <c r="Q17" s="18" t="inlineStr">
        <is>
          <t>Medium</t>
        </is>
      </c>
      <c r="R17" s="13" t="inlineStr">
        <is>
          <t>2026-07-07</t>
        </is>
      </c>
    </row>
    <row r="18">
      <c r="A18" s="67" t="inlineStr">
        <is>
          <t>Imported Quest</t>
        </is>
      </c>
      <c r="B18" s="6" t="inlineStr">
        <is>
          <t>books-and-books-coral-gables</t>
        </is>
      </c>
      <c r="C18" s="6" t="inlineStr">
        <is>
          <t>Shelf Discovery</t>
        </is>
      </c>
      <c r="D18" s="6" t="inlineStr">
        <is>
          <t>Books &amp; Books - Coral Gables</t>
        </is>
      </c>
      <c r="E18" s="6" t="inlineStr">
        <is>
          <t>Books &amp; Books</t>
        </is>
      </c>
      <c r="F18" s="6" t="inlineStr">
        <is>
          <t>Coral Gables</t>
        </is>
      </c>
      <c r="G18" s="6" t="inlineStr">
        <is>
          <t>265 Aragon Ave, Coral Gables, FL 33134</t>
        </is>
      </c>
      <c r="H18" s="6" t="inlineStr">
        <is>
          <t>culture</t>
        </is>
      </c>
      <c r="I18" s="9" t="inlineStr">
        <is>
          <t>Website</t>
        </is>
      </c>
      <c r="J18" s="9" t="inlineStr">
        <is>
          <t>Reviews</t>
        </is>
      </c>
      <c r="K18" s="9" t="inlineStr">
        <is>
          <t>Instagram</t>
        </is>
      </c>
      <c r="L18" s="7" t="inlineStr">
        <is>
          <t>No Outreach Needed</t>
        </is>
      </c>
      <c r="M18" s="7" t="inlineStr">
        <is>
          <t>active</t>
        </is>
      </c>
      <c r="N18" s="12" t="inlineStr">
        <is>
          <t>Needs Sourcing</t>
        </is>
      </c>
      <c r="O18" s="6" t="inlineStr">
        <is>
          <t>verified</t>
        </is>
      </c>
      <c r="P18" s="12" t="inlineStr">
        <is>
          <t>Asset Sourcing In Progress</t>
        </is>
      </c>
      <c r="Q18" s="18" t="inlineStr">
        <is>
          <t>Medium</t>
        </is>
      </c>
      <c r="R18" s="6" t="inlineStr">
        <is>
          <t>2026-07-07</t>
        </is>
      </c>
    </row>
    <row r="19">
      <c r="A19" s="67" t="inlineStr">
        <is>
          <t>Imported Quest</t>
        </is>
      </c>
      <c r="B19" s="13" t="inlineStr">
        <is>
          <t>coral-gables-congregational-church</t>
        </is>
      </c>
      <c r="C19" s="13" t="inlineStr">
        <is>
          <t>The Landmark Across the Way</t>
        </is>
      </c>
      <c r="D19" s="13" t="inlineStr">
        <is>
          <t>Coral Gables Congregational United Church of Christ</t>
        </is>
      </c>
      <c r="E19" s="13" t="inlineStr">
        <is>
          <t>Coral Gables Congregational United Church of Christ</t>
        </is>
      </c>
      <c r="F19" s="13" t="inlineStr">
        <is>
          <t>Coral Gables</t>
        </is>
      </c>
      <c r="G19" s="13" t="inlineStr">
        <is>
          <t>3010 De Soto Blvd, Coral Gables, FL 33134</t>
        </is>
      </c>
      <c r="H19" s="13" t="inlineStr">
        <is>
          <t>culture</t>
        </is>
      </c>
      <c r="I19" s="15" t="inlineStr">
        <is>
          <t>Website</t>
        </is>
      </c>
      <c r="J19" s="15" t="inlineStr">
        <is>
          <t>Reviews</t>
        </is>
      </c>
      <c r="K19" s="15" t="inlineStr">
        <is>
          <t>Instagram</t>
        </is>
      </c>
      <c r="L19" s="7" t="inlineStr">
        <is>
          <t>No Outreach Needed</t>
        </is>
      </c>
      <c r="M19" s="7" t="inlineStr">
        <is>
          <t>active</t>
        </is>
      </c>
      <c r="N19" s="12" t="inlineStr">
        <is>
          <t>Needs Sourcing</t>
        </is>
      </c>
      <c r="O19" s="13" t="inlineStr">
        <is>
          <t>verified</t>
        </is>
      </c>
      <c r="P19" s="12" t="inlineStr">
        <is>
          <t>Asset Sourcing In Progress</t>
        </is>
      </c>
      <c r="Q19" s="18" t="inlineStr">
        <is>
          <t>Medium</t>
        </is>
      </c>
      <c r="R19" s="13" t="inlineStr">
        <is>
          <t>2026-07-07</t>
        </is>
      </c>
    </row>
    <row r="20">
      <c r="A20" s="67" t="inlineStr">
        <is>
          <t>Imported Quest</t>
        </is>
      </c>
      <c r="B20" s="6" t="inlineStr">
        <is>
          <t>giralda-plaza</t>
        </is>
      </c>
      <c r="C20" s="6" t="inlineStr">
        <is>
          <t>The Pedestrian's Feast</t>
        </is>
      </c>
      <c r="D20" s="6" t="inlineStr">
        <is>
          <t>Giralda Plaza</t>
        </is>
      </c>
      <c r="E20" s="6" t="inlineStr">
        <is>
          <t>Giralda Plaza</t>
        </is>
      </c>
      <c r="F20" s="6" t="inlineStr">
        <is>
          <t>Coral Gables</t>
        </is>
      </c>
      <c r="G20" s="6" t="inlineStr">
        <is>
          <t>100 block of Giralda Ave, Coral Gables, FL 33134</t>
        </is>
      </c>
      <c r="H20" s="6" t="inlineStr">
        <is>
          <t>food</t>
        </is>
      </c>
      <c r="I20" s="9" t="inlineStr">
        <is>
          <t>Website</t>
        </is>
      </c>
      <c r="J20" s="9" t="inlineStr">
        <is>
          <t>Reviews</t>
        </is>
      </c>
      <c r="K20" s="9" t="inlineStr">
        <is>
          <t>Instagram</t>
        </is>
      </c>
      <c r="L20" s="7" t="inlineStr">
        <is>
          <t>No Outreach Needed</t>
        </is>
      </c>
      <c r="M20" s="7" t="inlineStr">
        <is>
          <t>active</t>
        </is>
      </c>
      <c r="N20" s="12" t="inlineStr">
        <is>
          <t>Needs Sourcing</t>
        </is>
      </c>
      <c r="O20" s="6" t="inlineStr">
        <is>
          <t>verified</t>
        </is>
      </c>
      <c r="P20" s="12" t="inlineStr">
        <is>
          <t>Asset Sourcing In Progress</t>
        </is>
      </c>
      <c r="Q20" s="18" t="inlineStr">
        <is>
          <t>Medium</t>
        </is>
      </c>
      <c r="R20" s="6" t="inlineStr">
        <is>
          <t>2026-07-07</t>
        </is>
      </c>
    </row>
    <row r="21">
      <c r="A21" s="67" t="inlineStr">
        <is>
          <t>Imported Quest</t>
        </is>
      </c>
      <c r="B21" s="13" t="inlineStr">
        <is>
          <t>miracle-mile-coral-gables</t>
        </is>
      </c>
      <c r="C21" s="13" t="inlineStr">
        <is>
          <t>The Half-Mile Miracle</t>
        </is>
      </c>
      <c r="D21" s="13" t="inlineStr">
        <is>
          <t>Miracle Mile</t>
        </is>
      </c>
      <c r="E21" s="13" t="inlineStr">
        <is>
          <t>Miracle Mile</t>
        </is>
      </c>
      <c r="F21" s="13" t="inlineStr">
        <is>
          <t>Coral Gables</t>
        </is>
      </c>
      <c r="G21" s="13" t="inlineStr">
        <is>
          <t>Coral Way between SW 37th Ave and SW 42nd Ave, Coral Gables, FL 33134</t>
        </is>
      </c>
      <c r="H21" s="13" t="inlineStr">
        <is>
          <t>shopping</t>
        </is>
      </c>
      <c r="I21" s="15" t="inlineStr">
        <is>
          <t>Website</t>
        </is>
      </c>
      <c r="J21" s="15" t="inlineStr">
        <is>
          <t>Reviews</t>
        </is>
      </c>
      <c r="K21" s="15" t="inlineStr">
        <is>
          <t>Instagram</t>
        </is>
      </c>
      <c r="L21" s="7" t="inlineStr">
        <is>
          <t>No Outreach Needed</t>
        </is>
      </c>
      <c r="M21" s="7" t="inlineStr">
        <is>
          <t>active</t>
        </is>
      </c>
      <c r="N21" s="12" t="inlineStr">
        <is>
          <t>Needs Sourcing</t>
        </is>
      </c>
      <c r="O21" s="13" t="inlineStr">
        <is>
          <t>verified</t>
        </is>
      </c>
      <c r="P21" s="12" t="inlineStr">
        <is>
          <t>Asset Sourcing In Progress</t>
        </is>
      </c>
      <c r="Q21" s="18" t="inlineStr">
        <is>
          <t>Medium</t>
        </is>
      </c>
      <c r="R21" s="13" t="inlineStr">
        <is>
          <t>2026-07-07</t>
        </is>
      </c>
    </row>
    <row r="22">
      <c r="A22" s="67" t="inlineStr">
        <is>
          <t>Imported Quest</t>
        </is>
      </c>
      <c r="B22" s="6" t="inlineStr">
        <is>
          <t>fairchild-tropical-garden</t>
        </is>
      </c>
      <c r="C22" s="6" t="inlineStr">
        <is>
          <t>Rainforest Within the Garden</t>
        </is>
      </c>
      <c r="D22" s="6" t="inlineStr">
        <is>
          <t>Richard H. Simons Rainforest at Fairchild Tropical Botanic Garden</t>
        </is>
      </c>
      <c r="E22" s="6" t="inlineStr">
        <is>
          <t>Fairchild Tropical Botanic Garden</t>
        </is>
      </c>
      <c r="F22" s="6" t="inlineStr">
        <is>
          <t>Coral Gables</t>
        </is>
      </c>
      <c r="G22" s="6" t="inlineStr">
        <is>
          <t>10901 Old Cutler Rd, Coral Gables, FL 33156</t>
        </is>
      </c>
      <c r="H22" s="6" t="inlineStr">
        <is>
          <t>outdoors</t>
        </is>
      </c>
      <c r="I22" s="9" t="inlineStr">
        <is>
          <t>Website</t>
        </is>
      </c>
      <c r="J22" s="9" t="inlineStr">
        <is>
          <t>Reviews</t>
        </is>
      </c>
      <c r="K22" s="9" t="inlineStr">
        <is>
          <t>Instagram</t>
        </is>
      </c>
      <c r="L22" s="7" t="inlineStr">
        <is>
          <t>No Outreach Needed</t>
        </is>
      </c>
      <c r="M22" s="7" t="inlineStr">
        <is>
          <t>active</t>
        </is>
      </c>
      <c r="N22" s="12" t="inlineStr">
        <is>
          <t>Needs Sourcing</t>
        </is>
      </c>
      <c r="O22" s="6" t="inlineStr">
        <is>
          <t>verified</t>
        </is>
      </c>
      <c r="P22" s="12" t="inlineStr">
        <is>
          <t>Asset Sourcing In Progress</t>
        </is>
      </c>
      <c r="Q22" s="18" t="inlineStr">
        <is>
          <t>Medium</t>
        </is>
      </c>
      <c r="R22" s="6" t="inlineStr">
        <is>
          <t>2026-07-07</t>
        </is>
      </c>
    </row>
    <row r="23">
      <c r="A23" s="67" t="inlineStr">
        <is>
          <t>Imported Quest</t>
        </is>
      </c>
      <c r="B23" s="13" t="inlineStr">
        <is>
          <t>threefold-cafe-coral-gables</t>
        </is>
      </c>
      <c r="C23" s="13" t="inlineStr">
        <is>
          <t>Down Under on Giralda</t>
        </is>
      </c>
      <c r="D23" s="13" t="inlineStr">
        <is>
          <t>Threefold Cafe</t>
        </is>
      </c>
      <c r="E23" s="13" t="inlineStr">
        <is>
          <t>Threefold Cafe</t>
        </is>
      </c>
      <c r="F23" s="13" t="inlineStr">
        <is>
          <t>Coral Gables</t>
        </is>
      </c>
      <c r="G23" s="13" t="inlineStr">
        <is>
          <t>141 Giralda Ave, Coral Gables, FL 33134</t>
        </is>
      </c>
      <c r="H23" s="13" t="inlineStr">
        <is>
          <t>food</t>
        </is>
      </c>
      <c r="I23" s="15" t="inlineStr">
        <is>
          <t>Website</t>
        </is>
      </c>
      <c r="J23" s="15" t="inlineStr">
        <is>
          <t>Reviews</t>
        </is>
      </c>
      <c r="K23" s="15" t="inlineStr">
        <is>
          <t>Instagram</t>
        </is>
      </c>
      <c r="L23" s="7" t="inlineStr">
        <is>
          <t>No Outreach Needed</t>
        </is>
      </c>
      <c r="M23" s="7" t="inlineStr">
        <is>
          <t>active</t>
        </is>
      </c>
      <c r="N23" s="12" t="inlineStr">
        <is>
          <t>Needs Sourcing</t>
        </is>
      </c>
      <c r="O23" s="13" t="inlineStr">
        <is>
          <t>verified</t>
        </is>
      </c>
      <c r="P23" s="12" t="inlineStr">
        <is>
          <t>Asset Sourcing In Progress</t>
        </is>
      </c>
      <c r="Q23" s="18" t="inlineStr">
        <is>
          <t>Medium</t>
        </is>
      </c>
      <c r="R23" s="13" t="inlineStr">
        <is>
          <t>2026-07-07</t>
        </is>
      </c>
    </row>
    <row r="24">
      <c r="A24" s="67" t="inlineStr">
        <is>
          <t>Imported Quest</t>
        </is>
      </c>
      <c r="B24" s="6" t="inlineStr">
        <is>
          <t>el-carajo-coral-way</t>
        </is>
      </c>
      <c r="C24" s="6" t="inlineStr">
        <is>
          <t>Fill Up on Tapas</t>
        </is>
      </c>
      <c r="D24" s="6" t="inlineStr">
        <is>
          <t>El Carajo</t>
        </is>
      </c>
      <c r="E24" s="6" t="inlineStr">
        <is>
          <t>El Carajo International Tapas &amp; Wine</t>
        </is>
      </c>
      <c r="F24" s="6" t="inlineStr">
        <is>
          <t>Coral Way</t>
        </is>
      </c>
      <c r="G24" s="6" t="inlineStr">
        <is>
          <t>2465 SW 17th Ave, Miami, FL 33145</t>
        </is>
      </c>
      <c r="H24" s="6" t="inlineStr">
        <is>
          <t>hidden_gem</t>
        </is>
      </c>
      <c r="I24" s="9" t="inlineStr">
        <is>
          <t>Website</t>
        </is>
      </c>
      <c r="J24" s="9" t="inlineStr">
        <is>
          <t>Reviews</t>
        </is>
      </c>
      <c r="K24" s="9" t="inlineStr">
        <is>
          <t>Instagram</t>
        </is>
      </c>
      <c r="L24" s="7" t="inlineStr">
        <is>
          <t>No Outreach Needed</t>
        </is>
      </c>
      <c r="M24" s="7" t="inlineStr">
        <is>
          <t>active</t>
        </is>
      </c>
      <c r="N24" s="12" t="inlineStr">
        <is>
          <t>Needs Sourcing</t>
        </is>
      </c>
      <c r="O24" s="6" t="inlineStr">
        <is>
          <t>verified</t>
        </is>
      </c>
      <c r="P24" s="12" t="inlineStr">
        <is>
          <t>Asset Sourcing In Progress</t>
        </is>
      </c>
      <c r="Q24" s="18" t="inlineStr">
        <is>
          <t>Medium</t>
        </is>
      </c>
      <c r="R24" s="6" t="inlineStr">
        <is>
          <t>2026-07-07</t>
        </is>
      </c>
    </row>
    <row r="25">
      <c r="A25" s="67" t="inlineStr">
        <is>
          <t>Imported Quest</t>
        </is>
      </c>
      <c r="B25" s="13" t="inlineStr">
        <is>
          <t>dale-zine-design-district</t>
        </is>
      </c>
      <c r="C25" s="13" t="inlineStr">
        <is>
          <t>Small Press, Big Energy</t>
        </is>
      </c>
      <c r="D25" s="13" t="inlineStr">
        <is>
          <t>Dale Zine Shop</t>
        </is>
      </c>
      <c r="E25" s="13" t="inlineStr">
        <is>
          <t>Dale Zine</t>
        </is>
      </c>
      <c r="F25" s="13" t="inlineStr">
        <is>
          <t>Design District</t>
        </is>
      </c>
      <c r="G25" s="13" t="inlineStr">
        <is>
          <t>50 NE 40th St, Miami, FL 33137</t>
        </is>
      </c>
      <c r="H25" s="13" t="inlineStr">
        <is>
          <t>art</t>
        </is>
      </c>
      <c r="I25" s="15" t="inlineStr">
        <is>
          <t>Website</t>
        </is>
      </c>
      <c r="J25" s="15" t="inlineStr">
        <is>
          <t>Reviews</t>
        </is>
      </c>
      <c r="K25" s="15" t="inlineStr">
        <is>
          <t>Instagram</t>
        </is>
      </c>
      <c r="L25" s="7" t="inlineStr">
        <is>
          <t>No Outreach Needed</t>
        </is>
      </c>
      <c r="M25" s="7" t="inlineStr">
        <is>
          <t>active</t>
        </is>
      </c>
      <c r="N25" s="12" t="inlineStr">
        <is>
          <t>Needs Sourcing</t>
        </is>
      </c>
      <c r="O25" s="13" t="inlineStr">
        <is>
          <t>verified</t>
        </is>
      </c>
      <c r="P25" s="12" t="inlineStr">
        <is>
          <t>Asset Sourcing In Progress</t>
        </is>
      </c>
      <c r="Q25" s="18" t="inlineStr">
        <is>
          <t>Medium</t>
        </is>
      </c>
      <c r="R25" s="13" t="inlineStr">
        <is>
          <t>2026-07-07</t>
        </is>
      </c>
    </row>
    <row r="26">
      <c r="A26" s="67" t="inlineStr">
        <is>
          <t>Imported Quest</t>
        </is>
      </c>
      <c r="B26" s="6" t="inlineStr">
        <is>
          <t>ica-miami</t>
        </is>
      </c>
      <c r="C26" s="6" t="inlineStr">
        <is>
          <t>Free Art, Big Ideas</t>
        </is>
      </c>
      <c r="D26" s="6" t="inlineStr">
        <is>
          <t>Institute of Contemporary Art, Miami</t>
        </is>
      </c>
      <c r="E26" s="6" t="inlineStr">
        <is>
          <t>Institute of Contemporary Art, Miami</t>
        </is>
      </c>
      <c r="F26" s="6" t="inlineStr">
        <is>
          <t>Design District</t>
        </is>
      </c>
      <c r="G26" s="6" t="inlineStr">
        <is>
          <t>61 NE 41st St, Miami, FL 33137</t>
        </is>
      </c>
      <c r="H26" s="6" t="inlineStr">
        <is>
          <t>art</t>
        </is>
      </c>
      <c r="I26" s="9" t="inlineStr">
        <is>
          <t>Website</t>
        </is>
      </c>
      <c r="J26" s="9" t="inlineStr">
        <is>
          <t>Reviews</t>
        </is>
      </c>
      <c r="K26" s="9" t="inlineStr">
        <is>
          <t>Instagram</t>
        </is>
      </c>
      <c r="L26" s="7" t="inlineStr">
        <is>
          <t>No Outreach Needed</t>
        </is>
      </c>
      <c r="M26" s="7" t="inlineStr">
        <is>
          <t>active</t>
        </is>
      </c>
      <c r="N26" s="12" t="inlineStr">
        <is>
          <t>Needs Sourcing</t>
        </is>
      </c>
      <c r="O26" s="6" t="inlineStr">
        <is>
          <t>verified</t>
        </is>
      </c>
      <c r="P26" s="12" t="inlineStr">
        <is>
          <t>Asset Sourcing In Progress</t>
        </is>
      </c>
      <c r="Q26" s="18" t="inlineStr">
        <is>
          <t>Medium</t>
        </is>
      </c>
      <c r="R26" s="6" t="inlineStr">
        <is>
          <t>2026-07-07</t>
        </is>
      </c>
    </row>
    <row r="27">
      <c r="A27" s="67" t="inlineStr">
        <is>
          <t>Imported Quest</t>
        </is>
      </c>
      <c r="B27" s="13" t="inlineStr">
        <is>
          <t>jungle-plaza-design-district</t>
        </is>
      </c>
      <c r="C27" s="13" t="inlineStr">
        <is>
          <t>Through the Portal</t>
        </is>
      </c>
      <c r="D27" s="13" t="inlineStr">
        <is>
          <t>Jungle Plaza</t>
        </is>
      </c>
      <c r="E27" s="13" t="inlineStr">
        <is>
          <t>Jungle Plaza</t>
        </is>
      </c>
      <c r="F27" s="13" t="inlineStr">
        <is>
          <t>Design District</t>
        </is>
      </c>
      <c r="G27" s="13" t="inlineStr">
        <is>
          <t>3801 NE 1st Ave, Miami, FL 33137</t>
        </is>
      </c>
      <c r="H27" s="13" t="inlineStr">
        <is>
          <t>art</t>
        </is>
      </c>
      <c r="I27" s="15" t="inlineStr">
        <is>
          <t>Website</t>
        </is>
      </c>
      <c r="J27" s="15" t="inlineStr">
        <is>
          <t>Reviews</t>
        </is>
      </c>
      <c r="K27" s="15" t="inlineStr">
        <is>
          <t>Instagram</t>
        </is>
      </c>
      <c r="L27" s="7" t="inlineStr">
        <is>
          <t>No Outreach Needed</t>
        </is>
      </c>
      <c r="M27" s="7" t="inlineStr">
        <is>
          <t>active</t>
        </is>
      </c>
      <c r="N27" s="12" t="inlineStr">
        <is>
          <t>Needs Sourcing</t>
        </is>
      </c>
      <c r="O27" s="13" t="inlineStr">
        <is>
          <t>verified</t>
        </is>
      </c>
      <c r="P27" s="12" t="inlineStr">
        <is>
          <t>Asset Sourcing In Progress</t>
        </is>
      </c>
      <c r="Q27" s="18" t="inlineStr">
        <is>
          <t>Medium</t>
        </is>
      </c>
      <c r="R27" s="13" t="inlineStr">
        <is>
          <t>2026-07-07</t>
        </is>
      </c>
    </row>
    <row r="28">
      <c r="A28" s="67" t="inlineStr">
        <is>
          <t>Imported Quest</t>
        </is>
      </c>
      <c r="B28" s="6" t="inlineStr">
        <is>
          <t>miami-design-district</t>
        </is>
      </c>
      <c r="C28" s="6" t="inlineStr">
        <is>
          <t>The Palm Court Puzzle</t>
        </is>
      </c>
      <c r="D28" s="6" t="inlineStr">
        <is>
          <t>Miami Design District</t>
        </is>
      </c>
      <c r="E28" s="6" t="inlineStr">
        <is>
          <t>Miami Design District</t>
        </is>
      </c>
      <c r="F28" s="6" t="inlineStr">
        <is>
          <t>Design District</t>
        </is>
      </c>
      <c r="G28" s="6" t="inlineStr">
        <is>
          <t>140 NE 39th St, Miami, FL 33137</t>
        </is>
      </c>
      <c r="H28" s="6" t="inlineStr">
        <is>
          <t>shopping</t>
        </is>
      </c>
      <c r="I28" s="9" t="inlineStr">
        <is>
          <t>Website</t>
        </is>
      </c>
      <c r="J28" s="9" t="inlineStr">
        <is>
          <t>Reviews</t>
        </is>
      </c>
      <c r="K28" s="9" t="inlineStr">
        <is>
          <t>Instagram</t>
        </is>
      </c>
      <c r="L28" s="7" t="inlineStr">
        <is>
          <t>No Outreach Needed</t>
        </is>
      </c>
      <c r="M28" s="7" t="inlineStr">
        <is>
          <t>active</t>
        </is>
      </c>
      <c r="N28" s="12" t="inlineStr">
        <is>
          <t>Needs Sourcing</t>
        </is>
      </c>
      <c r="O28" s="6" t="inlineStr">
        <is>
          <t>verified</t>
        </is>
      </c>
      <c r="P28" s="12" t="inlineStr">
        <is>
          <t>Asset Sourcing In Progress</t>
        </is>
      </c>
      <c r="Q28" s="18" t="inlineStr">
        <is>
          <t>Medium</t>
        </is>
      </c>
      <c r="R28" s="6" t="inlineStr">
        <is>
          <t>2026-07-07</t>
        </is>
      </c>
    </row>
    <row r="29">
      <c r="A29" s="67" t="inlineStr">
        <is>
          <t>Imported Quest</t>
        </is>
      </c>
      <c r="B29" s="13" t="inlineStr">
        <is>
          <t>bayside-marketplace</t>
        </is>
      </c>
      <c r="C29" s="13" t="inlineStr">
        <is>
          <t>Where Downtown Meets the Bay</t>
        </is>
      </c>
      <c r="D29" s="13" t="inlineStr">
        <is>
          <t>Bayside Marketplace</t>
        </is>
      </c>
      <c r="E29" s="13" t="inlineStr">
        <is>
          <t>Bayside Marketplace</t>
        </is>
      </c>
      <c r="F29" s="13" t="inlineStr">
        <is>
          <t>Downtown Miami</t>
        </is>
      </c>
      <c r="G29" s="13" t="inlineStr">
        <is>
          <t>401 Biscayne Blvd, Miami, FL 33132</t>
        </is>
      </c>
      <c r="H29" s="13" t="inlineStr">
        <is>
          <t>shopping</t>
        </is>
      </c>
      <c r="I29" s="15" t="inlineStr">
        <is>
          <t>Website</t>
        </is>
      </c>
      <c r="J29" s="15" t="inlineStr">
        <is>
          <t>Reviews</t>
        </is>
      </c>
      <c r="K29" s="15" t="inlineStr">
        <is>
          <t>Instagram</t>
        </is>
      </c>
      <c r="L29" s="7" t="inlineStr">
        <is>
          <t>No Outreach Needed</t>
        </is>
      </c>
      <c r="M29" s="7" t="inlineStr">
        <is>
          <t>active</t>
        </is>
      </c>
      <c r="N29" s="12" t="inlineStr">
        <is>
          <t>Needs Sourcing</t>
        </is>
      </c>
      <c r="O29" s="13" t="inlineStr">
        <is>
          <t>verified</t>
        </is>
      </c>
      <c r="P29" s="12" t="inlineStr">
        <is>
          <t>Asset Sourcing In Progress</t>
        </is>
      </c>
      <c r="Q29" s="18" t="inlineStr">
        <is>
          <t>Medium</t>
        </is>
      </c>
      <c r="R29" s="13" t="inlineStr">
        <is>
          <t>2026-07-07</t>
        </is>
      </c>
    </row>
    <row r="30">
      <c r="A30" s="67" t="inlineStr">
        <is>
          <t>Imported Quest</t>
        </is>
      </c>
      <c r="B30" s="6" t="inlineStr">
        <is>
          <t>citizens-miamicentral</t>
        </is>
      </c>
      <c r="C30" s="6" t="inlineStr">
        <is>
          <t>Eat Like a Commuter</t>
        </is>
      </c>
      <c r="D30" s="6" t="inlineStr">
        <is>
          <t>Citizens MiamiCentral</t>
        </is>
      </c>
      <c r="E30" s="6" t="inlineStr">
        <is>
          <t>Citizens MiamiCentral</t>
        </is>
      </c>
      <c r="F30" s="6" t="inlineStr">
        <is>
          <t>Downtown Miami</t>
        </is>
      </c>
      <c r="G30" s="6" t="inlineStr">
        <is>
          <t>600 NW 1st Ave, Miami, FL 33136</t>
        </is>
      </c>
      <c r="H30" s="6" t="inlineStr">
        <is>
          <t>food</t>
        </is>
      </c>
      <c r="I30" s="9" t="inlineStr">
        <is>
          <t>Website</t>
        </is>
      </c>
      <c r="J30" s="9" t="inlineStr">
        <is>
          <t>Reviews</t>
        </is>
      </c>
      <c r="K30" s="9" t="inlineStr">
        <is>
          <t>Instagram</t>
        </is>
      </c>
      <c r="L30" s="7" t="inlineStr">
        <is>
          <t>No Outreach Needed</t>
        </is>
      </c>
      <c r="M30" s="7" t="inlineStr">
        <is>
          <t>active</t>
        </is>
      </c>
      <c r="N30" s="12" t="inlineStr">
        <is>
          <t>Needs Sourcing</t>
        </is>
      </c>
      <c r="O30" s="6" t="inlineStr">
        <is>
          <t>verified</t>
        </is>
      </c>
      <c r="P30" s="12" t="inlineStr">
        <is>
          <t>Asset Sourcing In Progress</t>
        </is>
      </c>
      <c r="Q30" s="18" t="inlineStr">
        <is>
          <t>Medium</t>
        </is>
      </c>
      <c r="R30" s="6" t="inlineStr">
        <is>
          <t>2026-07-07</t>
        </is>
      </c>
    </row>
    <row r="31">
      <c r="A31" s="67" t="inlineStr">
        <is>
          <t>Imported Quest</t>
        </is>
      </c>
      <c r="B31" s="13" t="inlineStr">
        <is>
          <t>e11even-miami</t>
        </is>
      </c>
      <c r="C31" s="13" t="inlineStr">
        <is>
          <t>The Club That Never Sleeps</t>
        </is>
      </c>
      <c r="D31" s="13" t="inlineStr">
        <is>
          <t>E11EVEN Miami</t>
        </is>
      </c>
      <c r="E31" s="13" t="inlineStr">
        <is>
          <t>E11EVEN Miami</t>
        </is>
      </c>
      <c r="F31" s="13" t="inlineStr">
        <is>
          <t>Downtown Miami</t>
        </is>
      </c>
      <c r="G31" s="13" t="inlineStr">
        <is>
          <t>29 NE 11th St, Miami, FL 33132</t>
        </is>
      </c>
      <c r="H31" s="13" t="inlineStr">
        <is>
          <t>nightlife</t>
        </is>
      </c>
      <c r="I31" s="15" t="inlineStr">
        <is>
          <t>Website</t>
        </is>
      </c>
      <c r="J31" s="15" t="inlineStr">
        <is>
          <t>Reviews</t>
        </is>
      </c>
      <c r="K31" s="15" t="inlineStr">
        <is>
          <t>Instagram</t>
        </is>
      </c>
      <c r="L31" s="7" t="inlineStr">
        <is>
          <t>No Outreach Needed</t>
        </is>
      </c>
      <c r="M31" s="7" t="inlineStr">
        <is>
          <t>active</t>
        </is>
      </c>
      <c r="N31" s="12" t="inlineStr">
        <is>
          <t>Needs Sourcing</t>
        </is>
      </c>
      <c r="O31" s="13" t="inlineStr">
        <is>
          <t>verified</t>
        </is>
      </c>
      <c r="P31" s="12" t="inlineStr">
        <is>
          <t>Asset Sourcing In Progress</t>
        </is>
      </c>
      <c r="Q31" s="18" t="inlineStr">
        <is>
          <t>Medium</t>
        </is>
      </c>
      <c r="R31" s="13" t="inlineStr">
        <is>
          <t>2026-07-07</t>
        </is>
      </c>
    </row>
    <row r="32">
      <c r="A32" s="67" t="inlineStr">
        <is>
          <t>Imported Quest</t>
        </is>
      </c>
      <c r="B32" s="6" t="inlineStr">
        <is>
          <t>government-center-station</t>
        </is>
      </c>
      <c r="C32" s="6" t="inlineStr">
        <is>
          <t>The Crossroads</t>
        </is>
      </c>
      <c r="D32" s="6" t="inlineStr">
        <is>
          <t>Government Center Station</t>
        </is>
      </c>
      <c r="E32" s="6" t="inlineStr">
        <is>
          <t>Government Center Station</t>
        </is>
      </c>
      <c r="F32" s="6" t="inlineStr">
        <is>
          <t>Downtown Miami</t>
        </is>
      </c>
      <c r="G32" s="6" t="inlineStr">
        <is>
          <t>101 NW 1st St, Miami, FL 33128</t>
        </is>
      </c>
      <c r="H32" s="6" t="inlineStr">
        <is>
          <t>culture</t>
        </is>
      </c>
      <c r="I32" s="9" t="inlineStr">
        <is>
          <t>Website</t>
        </is>
      </c>
      <c r="J32" s="9" t="inlineStr">
        <is>
          <t>Reviews</t>
        </is>
      </c>
      <c r="K32" s="9" t="inlineStr">
        <is>
          <t>Instagram</t>
        </is>
      </c>
      <c r="L32" s="7" t="inlineStr">
        <is>
          <t>No Outreach Needed</t>
        </is>
      </c>
      <c r="M32" s="7" t="inlineStr">
        <is>
          <t>active</t>
        </is>
      </c>
      <c r="N32" s="12" t="inlineStr">
        <is>
          <t>Needs Sourcing</t>
        </is>
      </c>
      <c r="O32" s="6" t="inlineStr">
        <is>
          <t>verified</t>
        </is>
      </c>
      <c r="P32" s="12" t="inlineStr">
        <is>
          <t>Asset Sourcing In Progress</t>
        </is>
      </c>
      <c r="Q32" s="18" t="inlineStr">
        <is>
          <t>Medium</t>
        </is>
      </c>
      <c r="R32" s="6" t="inlineStr">
        <is>
          <t>2026-07-07</t>
        </is>
      </c>
    </row>
    <row r="33">
      <c r="A33" s="67" t="inlineStr">
        <is>
          <t>Imported Quest</t>
        </is>
      </c>
      <c r="B33" s="13" t="inlineStr">
        <is>
          <t>kaseya-center-plaza</t>
        </is>
      </c>
      <c r="C33" s="13" t="inlineStr">
        <is>
          <t>Home Court</t>
        </is>
      </c>
      <c r="D33" s="13" t="inlineStr">
        <is>
          <t>Kaseya Center</t>
        </is>
      </c>
      <c r="E33" s="13" t="inlineStr">
        <is>
          <t>Kaseya Center (AT&amp;T East Plaza)</t>
        </is>
      </c>
      <c r="F33" s="13" t="inlineStr">
        <is>
          <t>Downtown Miami</t>
        </is>
      </c>
      <c r="G33" s="13" t="inlineStr">
        <is>
          <t>601 Biscayne Blvd, Miami, FL 33132</t>
        </is>
      </c>
      <c r="H33" s="13" t="inlineStr">
        <is>
          <t>culture</t>
        </is>
      </c>
      <c r="I33" s="15" t="inlineStr">
        <is>
          <t>Website</t>
        </is>
      </c>
      <c r="J33" s="15" t="inlineStr">
        <is>
          <t>Reviews</t>
        </is>
      </c>
      <c r="K33" s="15" t="inlineStr">
        <is>
          <t>Instagram</t>
        </is>
      </c>
      <c r="L33" s="7" t="inlineStr">
        <is>
          <t>No Outreach Needed</t>
        </is>
      </c>
      <c r="M33" s="7" t="inlineStr">
        <is>
          <t>active</t>
        </is>
      </c>
      <c r="N33" s="12" t="inlineStr">
        <is>
          <t>Needs Sourcing</t>
        </is>
      </c>
      <c r="O33" s="13" t="inlineStr">
        <is>
          <t>verified</t>
        </is>
      </c>
      <c r="P33" s="12" t="inlineStr">
        <is>
          <t>Asset Sourcing In Progress</t>
        </is>
      </c>
      <c r="Q33" s="18" t="inlineStr">
        <is>
          <t>Medium</t>
        </is>
      </c>
      <c r="R33" s="13" t="inlineStr">
        <is>
          <t>2026-07-07</t>
        </is>
      </c>
    </row>
    <row r="34">
      <c r="A34" s="67" t="inlineStr">
        <is>
          <t>Imported Quest</t>
        </is>
      </c>
      <c r="B34" s="6" t="inlineStr">
        <is>
          <t>lost-boy-dry-goods</t>
        </is>
      </c>
      <c r="C34" s="6" t="inlineStr">
        <is>
          <t>Get Lost Downtown</t>
        </is>
      </c>
      <c r="D34" s="6" t="inlineStr">
        <is>
          <t>Lost Boy Dry Goods</t>
        </is>
      </c>
      <c r="E34" s="6" t="inlineStr">
        <is>
          <t>Lost Boy &amp; Co.</t>
        </is>
      </c>
      <c r="F34" s="6" t="inlineStr">
        <is>
          <t>Downtown Miami</t>
        </is>
      </c>
      <c r="G34" s="6" t="inlineStr">
        <is>
          <t>157 E Flagler St, Miami, FL 33131</t>
        </is>
      </c>
      <c r="H34" s="6" t="inlineStr">
        <is>
          <t>nightlife</t>
        </is>
      </c>
      <c r="I34" s="9" t="inlineStr">
        <is>
          <t>Website</t>
        </is>
      </c>
      <c r="J34" s="9" t="inlineStr">
        <is>
          <t>Reviews</t>
        </is>
      </c>
      <c r="K34" s="9" t="inlineStr">
        <is>
          <t>Instagram</t>
        </is>
      </c>
      <c r="L34" s="7" t="inlineStr">
        <is>
          <t>No Outreach Needed</t>
        </is>
      </c>
      <c r="M34" s="7" t="inlineStr">
        <is>
          <t>active</t>
        </is>
      </c>
      <c r="N34" s="12" t="inlineStr">
        <is>
          <t>Needs Sourcing</t>
        </is>
      </c>
      <c r="O34" s="6" t="inlineStr">
        <is>
          <t>verified</t>
        </is>
      </c>
      <c r="P34" s="12" t="inlineStr">
        <is>
          <t>Asset Sourcing In Progress</t>
        </is>
      </c>
      <c r="Q34" s="18" t="inlineStr">
        <is>
          <t>Medium</t>
        </is>
      </c>
      <c r="R34" s="6" t="inlineStr">
        <is>
          <t>2026-07-07</t>
        </is>
      </c>
    </row>
    <row r="35">
      <c r="A35" s="67" t="inlineStr">
        <is>
          <t>Imported Quest</t>
        </is>
      </c>
      <c r="B35" s="13" t="inlineStr">
        <is>
          <t>over-under-downtown</t>
        </is>
      </c>
      <c r="C35" s="13" t="inlineStr">
        <is>
          <t>Flagler Street Revival</t>
        </is>
      </c>
      <c r="D35" s="13" t="inlineStr">
        <is>
          <t>Over Under</t>
        </is>
      </c>
      <c r="E35" s="13" t="inlineStr">
        <is>
          <t>Over Under</t>
        </is>
      </c>
      <c r="F35" s="13" t="inlineStr">
        <is>
          <t>Downtown Miami</t>
        </is>
      </c>
      <c r="G35" s="13" t="inlineStr">
        <is>
          <t>151 E Flagler St, Miami, FL 33131</t>
        </is>
      </c>
      <c r="H35" s="13" t="inlineStr">
        <is>
          <t>nightlife</t>
        </is>
      </c>
      <c r="I35" s="15" t="inlineStr">
        <is>
          <t>Website</t>
        </is>
      </c>
      <c r="J35" s="15" t="inlineStr">
        <is>
          <t>Reviews</t>
        </is>
      </c>
      <c r="K35" s="15" t="inlineStr">
        <is>
          <t>Instagram</t>
        </is>
      </c>
      <c r="L35" s="7" t="inlineStr">
        <is>
          <t>No Outreach Needed</t>
        </is>
      </c>
      <c r="M35" s="7" t="inlineStr">
        <is>
          <t>active</t>
        </is>
      </c>
      <c r="N35" s="12" t="inlineStr">
        <is>
          <t>Needs Sourcing</t>
        </is>
      </c>
      <c r="O35" s="13" t="inlineStr">
        <is>
          <t>verified</t>
        </is>
      </c>
      <c r="P35" s="12" t="inlineStr">
        <is>
          <t>Asset Sourcing In Progress</t>
        </is>
      </c>
      <c r="Q35" s="18" t="inlineStr">
        <is>
          <t>Medium</t>
        </is>
      </c>
      <c r="R35" s="13" t="inlineStr">
        <is>
          <t>2026-07-07</t>
        </is>
      </c>
    </row>
    <row r="36">
      <c r="A36" s="67" t="inlineStr">
        <is>
          <t>Imported Quest</t>
        </is>
      </c>
      <c r="B36" s="6" t="inlineStr">
        <is>
          <t>perez-art-museum-miami</t>
        </is>
      </c>
      <c r="C36" s="6" t="inlineStr">
        <is>
          <t>Art on the Bay</t>
        </is>
      </c>
      <c r="D36" s="6" t="inlineStr">
        <is>
          <t>Pérez Art Museum Miami</t>
        </is>
      </c>
      <c r="E36" s="6" t="inlineStr">
        <is>
          <t>Pérez Art Museum Miami</t>
        </is>
      </c>
      <c r="F36" s="6" t="inlineStr">
        <is>
          <t>Downtown Miami</t>
        </is>
      </c>
      <c r="G36" s="6" t="inlineStr">
        <is>
          <t>1103 Biscayne Blvd, Miami, FL 33132</t>
        </is>
      </c>
      <c r="H36" s="6" t="inlineStr">
        <is>
          <t>art</t>
        </is>
      </c>
      <c r="I36" s="9" t="inlineStr">
        <is>
          <t>Website</t>
        </is>
      </c>
      <c r="J36" s="9" t="inlineStr">
        <is>
          <t>Reviews</t>
        </is>
      </c>
      <c r="K36" s="9" t="inlineStr">
        <is>
          <t>Instagram</t>
        </is>
      </c>
      <c r="L36" s="7" t="inlineStr">
        <is>
          <t>No Outreach Needed</t>
        </is>
      </c>
      <c r="M36" s="7" t="inlineStr">
        <is>
          <t>active</t>
        </is>
      </c>
      <c r="N36" s="12" t="inlineStr">
        <is>
          <t>Needs Sourcing</t>
        </is>
      </c>
      <c r="O36" s="6" t="inlineStr">
        <is>
          <t>verified</t>
        </is>
      </c>
      <c r="P36" s="12" t="inlineStr">
        <is>
          <t>Asset Sourcing In Progress</t>
        </is>
      </c>
      <c r="Q36" s="18" t="inlineStr">
        <is>
          <t>Medium</t>
        </is>
      </c>
      <c r="R36" s="6" t="inlineStr">
        <is>
          <t>2026-07-07</t>
        </is>
      </c>
    </row>
    <row r="37">
      <c r="A37" s="67" t="inlineStr">
        <is>
          <t>Imported Quest</t>
        </is>
      </c>
      <c r="B37" s="13" t="inlineStr">
        <is>
          <t>maurice-ferre-park</t>
        </is>
      </c>
      <c r="C37" s="13" t="inlineStr">
        <is>
          <t>The Museum's Front Yard</t>
        </is>
      </c>
      <c r="D37" s="13" t="inlineStr">
        <is>
          <t>Maurice A. Ferré Park</t>
        </is>
      </c>
      <c r="E37" s="13" t="inlineStr">
        <is>
          <t>Maurice A. Ferré Park</t>
        </is>
      </c>
      <c r="F37" s="13" t="inlineStr">
        <is>
          <t>Downtown Miami / Arts &amp; Entertainment District</t>
        </is>
      </c>
      <c r="G37" s="13" t="inlineStr">
        <is>
          <t>1075 Biscayne Blvd, Miami, FL 33132</t>
        </is>
      </c>
      <c r="H37" s="13" t="inlineStr">
        <is>
          <t>outdoors</t>
        </is>
      </c>
      <c r="I37" s="15" t="inlineStr">
        <is>
          <t>Website</t>
        </is>
      </c>
      <c r="J37" s="15" t="inlineStr">
        <is>
          <t>Reviews</t>
        </is>
      </c>
      <c r="K37" s="15" t="inlineStr">
        <is>
          <t>Instagram</t>
        </is>
      </c>
      <c r="L37" s="7" t="inlineStr">
        <is>
          <t>No Outreach Needed</t>
        </is>
      </c>
      <c r="M37" s="7" t="inlineStr">
        <is>
          <t>active</t>
        </is>
      </c>
      <c r="N37" s="12" t="inlineStr">
        <is>
          <t>Needs Sourcing</t>
        </is>
      </c>
      <c r="O37" s="13" t="inlineStr">
        <is>
          <t>verified</t>
        </is>
      </c>
      <c r="P37" s="12" t="inlineStr">
        <is>
          <t>Asset Sourcing In Progress</t>
        </is>
      </c>
      <c r="Q37" s="18" t="inlineStr">
        <is>
          <t>Medium</t>
        </is>
      </c>
      <c r="R37" s="13" t="inlineStr">
        <is>
          <t>2026-07-07</t>
        </is>
      </c>
    </row>
    <row r="38">
      <c r="A38" s="67" t="inlineStr">
        <is>
          <t>Imported Quest</t>
        </is>
      </c>
      <c r="B38" s="6" t="inlineStr">
        <is>
          <t>the-corner-downtown</t>
        </is>
      </c>
      <c r="C38" s="6" t="inlineStr">
        <is>
          <t>Meet Me at The Corner</t>
        </is>
      </c>
      <c r="D38" s="6" t="inlineStr">
        <is>
          <t>The Corner</t>
        </is>
      </c>
      <c r="E38" s="6" t="inlineStr">
        <is>
          <t>The Corner</t>
        </is>
      </c>
      <c r="F38" s="6" t="inlineStr">
        <is>
          <t>Downtown Miami / Park West</t>
        </is>
      </c>
      <c r="G38" s="6" t="inlineStr">
        <is>
          <t>1035 N Miami Ave #101, Miami, FL 33136</t>
        </is>
      </c>
      <c r="H38" s="6" t="inlineStr">
        <is>
          <t>nightlife</t>
        </is>
      </c>
      <c r="I38" s="9" t="inlineStr">
        <is>
          <t>Website</t>
        </is>
      </c>
      <c r="J38" s="9" t="inlineStr">
        <is>
          <t>Reviews</t>
        </is>
      </c>
      <c r="K38" s="9" t="inlineStr">
        <is>
          <t>Instagram</t>
        </is>
      </c>
      <c r="L38" s="7" t="inlineStr">
        <is>
          <t>No Outreach Needed</t>
        </is>
      </c>
      <c r="M38" s="7" t="inlineStr">
        <is>
          <t>active</t>
        </is>
      </c>
      <c r="N38" s="12" t="inlineStr">
        <is>
          <t>Needs Sourcing</t>
        </is>
      </c>
      <c r="O38" s="6" t="inlineStr">
        <is>
          <t>verified</t>
        </is>
      </c>
      <c r="P38" s="12" t="inlineStr">
        <is>
          <t>Asset Sourcing In Progress</t>
        </is>
      </c>
      <c r="Q38" s="18" t="inlineStr">
        <is>
          <t>Medium</t>
        </is>
      </c>
      <c r="R38" s="6" t="inlineStr">
        <is>
          <t>2026-07-07</t>
        </is>
      </c>
    </row>
    <row r="39">
      <c r="A39" s="67" t="inlineStr">
        <is>
          <t>Imported Quest</t>
        </is>
      </c>
      <c r="B39" s="13" t="inlineStr">
        <is>
          <t>vice-city-bean-edgewater</t>
        </is>
      </c>
      <c r="C39" s="13" t="inlineStr">
        <is>
          <t>Flagship of Vice City</t>
        </is>
      </c>
      <c r="D39" s="13" t="inlineStr">
        <is>
          <t>Vice City Bean</t>
        </is>
      </c>
      <c r="E39" s="13" t="inlineStr">
        <is>
          <t>Vice City Bean</t>
        </is>
      </c>
      <c r="F39" s="13" t="inlineStr">
        <is>
          <t>Edgewater</t>
        </is>
      </c>
      <c r="G39" s="13" t="inlineStr">
        <is>
          <t>1657 N Miami Ave, Unit C, Miami, FL 33136</t>
        </is>
      </c>
      <c r="H39" s="13" t="inlineStr">
        <is>
          <t>food</t>
        </is>
      </c>
      <c r="I39" s="15" t="inlineStr">
        <is>
          <t>Website</t>
        </is>
      </c>
      <c r="J39" s="15" t="inlineStr">
        <is>
          <t>Reviews</t>
        </is>
      </c>
      <c r="K39" s="15" t="inlineStr">
        <is>
          <t>Instagram</t>
        </is>
      </c>
      <c r="L39" s="7" t="inlineStr">
        <is>
          <t>No Outreach Needed</t>
        </is>
      </c>
      <c r="M39" s="7" t="inlineStr">
        <is>
          <t>active</t>
        </is>
      </c>
      <c r="N39" s="12" t="inlineStr">
        <is>
          <t>Needs Sourcing</t>
        </is>
      </c>
      <c r="O39" s="13" t="inlineStr">
        <is>
          <t>verified</t>
        </is>
      </c>
      <c r="P39" s="12" t="inlineStr">
        <is>
          <t>Asset Sourcing In Progress</t>
        </is>
      </c>
      <c r="Q39" s="18" t="inlineStr">
        <is>
          <t>Medium</t>
        </is>
      </c>
      <c r="R39" s="13" t="inlineStr">
        <is>
          <t>2026-07-07</t>
        </is>
      </c>
    </row>
    <row r="40">
      <c r="A40" s="67" t="inlineStr">
        <is>
          <t>Imported Quest</t>
        </is>
      </c>
      <c r="B40" s="6" t="inlineStr">
        <is>
          <t>naomis-garden-little-haiti</t>
        </is>
      </c>
      <c r="C40" s="6" t="inlineStr">
        <is>
          <t>The Garden of Little Haiti</t>
        </is>
      </c>
      <c r="D40" s="6" t="inlineStr">
        <is>
          <t>Naomi's Garden Restaurant &amp; Lounge</t>
        </is>
      </c>
      <c r="E40" s="6" t="inlineStr">
        <is>
          <t>Naomi's Garden Restaurant &amp; Lounge</t>
        </is>
      </c>
      <c r="F40" s="6" t="inlineStr">
        <is>
          <t>Little Haiti</t>
        </is>
      </c>
      <c r="G40" s="6" t="inlineStr">
        <is>
          <t>650 NW 71st St, Miami, FL 33150</t>
        </is>
      </c>
      <c r="H40" s="6" t="inlineStr">
        <is>
          <t>food</t>
        </is>
      </c>
      <c r="I40" s="9" t="inlineStr">
        <is>
          <t>Website</t>
        </is>
      </c>
      <c r="J40" s="9" t="inlineStr">
        <is>
          <t>Reviews</t>
        </is>
      </c>
      <c r="K40" s="9" t="inlineStr">
        <is>
          <t>Instagram</t>
        </is>
      </c>
      <c r="L40" s="7" t="inlineStr">
        <is>
          <t>No Outreach Needed</t>
        </is>
      </c>
      <c r="M40" s="7" t="inlineStr">
        <is>
          <t>active</t>
        </is>
      </c>
      <c r="N40" s="12" t="inlineStr">
        <is>
          <t>Needs Sourcing</t>
        </is>
      </c>
      <c r="O40" s="6" t="inlineStr">
        <is>
          <t>verified</t>
        </is>
      </c>
      <c r="P40" s="12" t="inlineStr">
        <is>
          <t>Asset Sourcing In Progress</t>
        </is>
      </c>
      <c r="Q40" s="18" t="inlineStr">
        <is>
          <t>Medium</t>
        </is>
      </c>
      <c r="R40" s="6" t="inlineStr">
        <is>
          <t>2026-07-07</t>
        </is>
      </c>
    </row>
    <row r="41">
      <c r="A41" s="67" t="inlineStr">
        <is>
          <t>Imported Quest</t>
        </is>
      </c>
      <c r="B41" s="13" t="inlineStr">
        <is>
          <t>sweat-records-little-haiti</t>
        </is>
      </c>
      <c r="C41" s="13" t="inlineStr">
        <is>
          <t>Crate Digger</t>
        </is>
      </c>
      <c r="D41" s="13" t="inlineStr">
        <is>
          <t>Sweat Records</t>
        </is>
      </c>
      <c r="E41" s="13" t="inlineStr">
        <is>
          <t>Sweat Records</t>
        </is>
      </c>
      <c r="F41" s="13" t="inlineStr">
        <is>
          <t>Little Haiti / Little River</t>
        </is>
      </c>
      <c r="G41" s="13" t="inlineStr">
        <is>
          <t>5505 NE 2nd Ave, Miami, FL 33137</t>
        </is>
      </c>
      <c r="H41" s="13" t="inlineStr">
        <is>
          <t>culture</t>
        </is>
      </c>
      <c r="I41" s="15" t="inlineStr">
        <is>
          <t>Website</t>
        </is>
      </c>
      <c r="J41" s="15" t="inlineStr">
        <is>
          <t>Reviews</t>
        </is>
      </c>
      <c r="K41" s="15" t="inlineStr">
        <is>
          <t>Instagram</t>
        </is>
      </c>
      <c r="L41" s="7" t="inlineStr">
        <is>
          <t>No Outreach Needed</t>
        </is>
      </c>
      <c r="M41" s="7" t="inlineStr">
        <is>
          <t>active</t>
        </is>
      </c>
      <c r="N41" s="12" t="inlineStr">
        <is>
          <t>Needs Sourcing</t>
        </is>
      </c>
      <c r="O41" s="13" t="inlineStr">
        <is>
          <t>verified</t>
        </is>
      </c>
      <c r="P41" s="12" t="inlineStr">
        <is>
          <t>Asset Sourcing In Progress</t>
        </is>
      </c>
      <c r="Q41" s="18" t="inlineStr">
        <is>
          <t>Medium</t>
        </is>
      </c>
      <c r="R41" s="13" t="inlineStr">
        <is>
          <t>2026-07-07</t>
        </is>
      </c>
    </row>
    <row r="42">
      <c r="A42" s="67" t="inlineStr">
        <is>
          <t>Imported Quest</t>
        </is>
      </c>
      <c r="B42" s="6" t="inlineStr">
        <is>
          <t>ball-and-chain-little-havana</t>
        </is>
      </c>
      <c r="C42" s="6" t="inlineStr">
        <is>
          <t>Calle Ocho After Dark</t>
        </is>
      </c>
      <c r="D42" s="6" t="inlineStr">
        <is>
          <t>Ball &amp; Chain</t>
        </is>
      </c>
      <c r="E42" s="6" t="inlineStr">
        <is>
          <t>Ball &amp; Chain</t>
        </is>
      </c>
      <c r="F42" s="6" t="inlineStr">
        <is>
          <t>Little Havana</t>
        </is>
      </c>
      <c r="G42" s="6" t="inlineStr">
        <is>
          <t>1513 SW 8th St, Miami, FL 33135</t>
        </is>
      </c>
      <c r="H42" s="6" t="inlineStr">
        <is>
          <t>nightlife</t>
        </is>
      </c>
      <c r="I42" s="9" t="inlineStr">
        <is>
          <t>Website</t>
        </is>
      </c>
      <c r="J42" s="9" t="inlineStr">
        <is>
          <t>Reviews</t>
        </is>
      </c>
      <c r="K42" s="9" t="inlineStr">
        <is>
          <t>Instagram</t>
        </is>
      </c>
      <c r="L42" s="7" t="inlineStr">
        <is>
          <t>No Outreach Needed</t>
        </is>
      </c>
      <c r="M42" s="7" t="inlineStr">
        <is>
          <t>active</t>
        </is>
      </c>
      <c r="N42" s="12" t="inlineStr">
        <is>
          <t>Needs Sourcing</t>
        </is>
      </c>
      <c r="O42" s="6" t="inlineStr">
        <is>
          <t>verified</t>
        </is>
      </c>
      <c r="P42" s="12" t="inlineStr">
        <is>
          <t>Asset Sourcing In Progress</t>
        </is>
      </c>
      <c r="Q42" s="18" t="inlineStr">
        <is>
          <t>Medium</t>
        </is>
      </c>
      <c r="R42" s="6" t="inlineStr">
        <is>
          <t>2026-07-07</t>
        </is>
      </c>
    </row>
    <row r="43">
      <c r="A43" s="67" t="inlineStr">
        <is>
          <t>Imported Quest</t>
        </is>
      </c>
      <c r="B43" s="13" t="inlineStr">
        <is>
          <t>imperial-moto-little-river</t>
        </is>
      </c>
      <c r="C43" s="13" t="inlineStr">
        <is>
          <t>Full Throttle Coffee</t>
        </is>
      </c>
      <c r="D43" s="13" t="inlineStr">
        <is>
          <t>Imperial Moto Cafe - Little River</t>
        </is>
      </c>
      <c r="E43" s="13" t="inlineStr">
        <is>
          <t>Imperial Moto</t>
        </is>
      </c>
      <c r="F43" s="13" t="inlineStr">
        <is>
          <t>Little River</t>
        </is>
      </c>
      <c r="G43" s="13" t="inlineStr">
        <is>
          <t>7299 NW 2nd Ave, Miami, FL 33150</t>
        </is>
      </c>
      <c r="H43" s="13" t="inlineStr">
        <is>
          <t>food</t>
        </is>
      </c>
      <c r="I43" s="15" t="inlineStr">
        <is>
          <t>Website</t>
        </is>
      </c>
      <c r="J43" s="15" t="inlineStr">
        <is>
          <t>Reviews</t>
        </is>
      </c>
      <c r="K43" s="15" t="inlineStr">
        <is>
          <t>Instagram</t>
        </is>
      </c>
      <c r="L43" s="7" t="inlineStr">
        <is>
          <t>No Outreach Needed</t>
        </is>
      </c>
      <c r="M43" s="7" t="inlineStr">
        <is>
          <t>active</t>
        </is>
      </c>
      <c r="N43" s="12" t="inlineStr">
        <is>
          <t>Needs Sourcing</t>
        </is>
      </c>
      <c r="O43" s="13" t="inlineStr">
        <is>
          <t>verified</t>
        </is>
      </c>
      <c r="P43" s="12" t="inlineStr">
        <is>
          <t>Asset Sourcing In Progress</t>
        </is>
      </c>
      <c r="Q43" s="18" t="inlineStr">
        <is>
          <t>Medium</t>
        </is>
      </c>
      <c r="R43" s="13" t="inlineStr">
        <is>
          <t>2026-07-07</t>
        </is>
      </c>
    </row>
    <row r="44">
      <c r="A44" s="67" t="inlineStr">
        <is>
          <t>Imported Quest</t>
        </is>
      </c>
      <c r="B44" s="6" t="inlineStr">
        <is>
          <t>plant-the-future-little-river</t>
        </is>
      </c>
      <c r="C44" s="6" t="inlineStr">
        <is>
          <t>The Gas Station That Grew</t>
        </is>
      </c>
      <c r="D44" s="6" t="inlineStr">
        <is>
          <t>Plant the Future</t>
        </is>
      </c>
      <c r="E44" s="6" t="inlineStr">
        <is>
          <t>Plant the Future</t>
        </is>
      </c>
      <c r="F44" s="6" t="inlineStr">
        <is>
          <t>Little River</t>
        </is>
      </c>
      <c r="G44" s="6" t="inlineStr">
        <is>
          <t>8484 NE 2nd Ave, Miami, FL 33138</t>
        </is>
      </c>
      <c r="H44" s="6" t="inlineStr">
        <is>
          <t>art</t>
        </is>
      </c>
      <c r="I44" s="9" t="inlineStr">
        <is>
          <t>Website</t>
        </is>
      </c>
      <c r="J44" s="9" t="inlineStr">
        <is>
          <t>Reviews</t>
        </is>
      </c>
      <c r="K44" s="9" t="inlineStr">
        <is>
          <t>Instagram</t>
        </is>
      </c>
      <c r="L44" s="7" t="inlineStr">
        <is>
          <t>No Outreach Needed</t>
        </is>
      </c>
      <c r="M44" s="7" t="inlineStr">
        <is>
          <t>active</t>
        </is>
      </c>
      <c r="N44" s="12" t="inlineStr">
        <is>
          <t>Needs Sourcing</t>
        </is>
      </c>
      <c r="O44" s="6" t="inlineStr">
        <is>
          <t>verified</t>
        </is>
      </c>
      <c r="P44" s="12" t="inlineStr">
        <is>
          <t>Asset Sourcing In Progress</t>
        </is>
      </c>
      <c r="Q44" s="18" t="inlineStr">
        <is>
          <t>Medium</t>
        </is>
      </c>
      <c r="R44" s="6" t="inlineStr">
        <is>
          <t>2026-07-07</t>
        </is>
      </c>
    </row>
    <row r="45">
      <c r="A45" s="67" t="inlineStr">
        <is>
          <t>Imported Quest</t>
        </is>
      </c>
      <c r="B45" s="13" t="inlineStr">
        <is>
          <t>lagniappe-house-midtown</t>
        </is>
      </c>
      <c r="C45" s="13" t="inlineStr">
        <is>
          <t>A Little Something Extra</t>
        </is>
      </c>
      <c r="D45" s="13" t="inlineStr">
        <is>
          <t>Lagniappe</t>
        </is>
      </c>
      <c r="E45" s="13" t="inlineStr">
        <is>
          <t>Lagniappe House</t>
        </is>
      </c>
      <c r="F45" s="13" t="inlineStr">
        <is>
          <t>Midtown / Wynwood-Edgewater</t>
        </is>
      </c>
      <c r="G45" s="13" t="inlineStr">
        <is>
          <t>3425 NE 2nd Ave, Miami, FL 33137</t>
        </is>
      </c>
      <c r="H45" s="13" t="inlineStr">
        <is>
          <t>nightlife</t>
        </is>
      </c>
      <c r="I45" s="15" t="inlineStr">
        <is>
          <t>Website</t>
        </is>
      </c>
      <c r="J45" s="15" t="inlineStr">
        <is>
          <t>Reviews</t>
        </is>
      </c>
      <c r="K45" s="15" t="inlineStr">
        <is>
          <t>Instagram</t>
        </is>
      </c>
      <c r="L45" s="7" t="inlineStr">
        <is>
          <t>No Outreach Needed</t>
        </is>
      </c>
      <c r="M45" s="7" t="inlineStr">
        <is>
          <t>active</t>
        </is>
      </c>
      <c r="N45" s="12" t="inlineStr">
        <is>
          <t>Needs Sourcing</t>
        </is>
      </c>
      <c r="O45" s="13" t="inlineStr">
        <is>
          <t>verified</t>
        </is>
      </c>
      <c r="P45" s="12" t="inlineStr">
        <is>
          <t>Asset Sourcing In Progress</t>
        </is>
      </c>
      <c r="Q45" s="18" t="inlineStr">
        <is>
          <t>Medium</t>
        </is>
      </c>
      <c r="R45" s="13" t="inlineStr">
        <is>
          <t>2026-07-07</t>
        </is>
      </c>
    </row>
    <row r="46">
      <c r="A46" s="67" t="inlineStr">
        <is>
          <t>Imported Quest</t>
        </is>
      </c>
      <c r="B46" s="6" t="inlineStr">
        <is>
          <t>miami-worldcenter</t>
        </is>
      </c>
      <c r="C46" s="6" t="inlineStr">
        <is>
          <t>City Under Construction</t>
        </is>
      </c>
      <c r="D46" s="6" t="inlineStr">
        <is>
          <t>Miami Worldcenter</t>
        </is>
      </c>
      <c r="E46" s="6" t="inlineStr">
        <is>
          <t>Miami Worldcenter</t>
        </is>
      </c>
      <c r="F46" s="6" t="inlineStr">
        <is>
          <t>Park West / Downtown Miami</t>
        </is>
      </c>
      <c r="G46" s="6" t="inlineStr">
        <is>
          <t>851 NE 1st Ave, Miami, FL 33132</t>
        </is>
      </c>
      <c r="H46" s="6" t="inlineStr">
        <is>
          <t>shopping</t>
        </is>
      </c>
      <c r="I46" s="9" t="inlineStr">
        <is>
          <t>Website</t>
        </is>
      </c>
      <c r="J46" s="9" t="inlineStr">
        <is>
          <t>Reviews</t>
        </is>
      </c>
      <c r="K46" s="9" t="inlineStr">
        <is>
          <t>Instagram</t>
        </is>
      </c>
      <c r="L46" s="7" t="inlineStr">
        <is>
          <t>No Outreach Needed</t>
        </is>
      </c>
      <c r="M46" s="7" t="inlineStr">
        <is>
          <t>active</t>
        </is>
      </c>
      <c r="N46" s="12" t="inlineStr">
        <is>
          <t>Needs Sourcing</t>
        </is>
      </c>
      <c r="O46" s="6" t="inlineStr">
        <is>
          <t>verified</t>
        </is>
      </c>
      <c r="P46" s="12" t="inlineStr">
        <is>
          <t>Asset Sourcing In Progress</t>
        </is>
      </c>
      <c r="Q46" s="18" t="inlineStr">
        <is>
          <t>Medium</t>
        </is>
      </c>
      <c r="R46" s="6" t="inlineStr">
        <is>
          <t>2026-07-07</t>
        </is>
      </c>
    </row>
    <row r="47">
      <c r="A47" s="67" t="inlineStr">
        <is>
          <t>Imported Quest</t>
        </is>
      </c>
      <c r="B47" s="13" t="inlineStr">
        <is>
          <t>brewing-buddha-pinecrest</t>
        </is>
      </c>
      <c r="C47" s="13" t="inlineStr">
        <is>
          <t>The Buddha's Gallery</t>
        </is>
      </c>
      <c r="D47" s="13" t="inlineStr">
        <is>
          <t>Brewing Buddha Cafe &amp; Arthouse</t>
        </is>
      </c>
      <c r="E47" s="13" t="inlineStr">
        <is>
          <t>Brewing Buddha Cafe &amp; Arthouse</t>
        </is>
      </c>
      <c r="F47" s="13" t="inlineStr">
        <is>
          <t>Pinecrest</t>
        </is>
      </c>
      <c r="G47" s="13" t="inlineStr">
        <is>
          <t>8219 SW 124th St, Pinecrest, FL 33156</t>
        </is>
      </c>
      <c r="H47" s="13" t="inlineStr">
        <is>
          <t>food</t>
        </is>
      </c>
      <c r="I47" s="15" t="inlineStr">
        <is>
          <t>Website</t>
        </is>
      </c>
      <c r="J47" s="15" t="inlineStr">
        <is>
          <t>Reviews</t>
        </is>
      </c>
      <c r="K47" s="15" t="inlineStr">
        <is>
          <t>Instagram</t>
        </is>
      </c>
      <c r="L47" s="7" t="inlineStr">
        <is>
          <t>No Outreach Needed</t>
        </is>
      </c>
      <c r="M47" s="7" t="inlineStr">
        <is>
          <t>active</t>
        </is>
      </c>
      <c r="N47" s="12" t="inlineStr">
        <is>
          <t>Needs Sourcing</t>
        </is>
      </c>
      <c r="O47" s="13" t="inlineStr">
        <is>
          <t>verified</t>
        </is>
      </c>
      <c r="P47" s="12" t="inlineStr">
        <is>
          <t>Asset Sourcing In Progress</t>
        </is>
      </c>
      <c r="Q47" s="18" t="inlineStr">
        <is>
          <t>Medium</t>
        </is>
      </c>
      <c r="R47" s="13" t="inlineStr">
        <is>
          <t>2026-07-07</t>
        </is>
      </c>
    </row>
    <row r="48">
      <c r="A48" s="67" t="inlineStr">
        <is>
          <t>Imported Quest</t>
        </is>
      </c>
      <c r="B48" s="6" t="inlineStr">
        <is>
          <t>bodega-taqueria-south-beach</t>
        </is>
      </c>
      <c r="C48" s="6" t="inlineStr">
        <is>
          <t>The Porta-Potty Portal</t>
        </is>
      </c>
      <c r="D48" s="6" t="inlineStr">
        <is>
          <t>Bodega Taqueria y Tequila South Beach (Hidden Speakeasy)</t>
        </is>
      </c>
      <c r="E48" s="6" t="inlineStr">
        <is>
          <t>Bodega Taqueria y Tequila</t>
        </is>
      </c>
      <c r="F48" s="6" t="inlineStr">
        <is>
          <t>South Beach</t>
        </is>
      </c>
      <c r="G48" s="6" t="inlineStr">
        <is>
          <t>1220 16th St, Miami Beach, FL 33139</t>
        </is>
      </c>
      <c r="H48" s="6" t="inlineStr">
        <is>
          <t>hidden_gem</t>
        </is>
      </c>
      <c r="I48" s="9" t="inlineStr">
        <is>
          <t>Website</t>
        </is>
      </c>
      <c r="J48" s="9" t="inlineStr">
        <is>
          <t>Reviews</t>
        </is>
      </c>
      <c r="K48" s="9" t="inlineStr">
        <is>
          <t>Instagram</t>
        </is>
      </c>
      <c r="L48" s="7" t="inlineStr">
        <is>
          <t>No Outreach Needed</t>
        </is>
      </c>
      <c r="M48" s="7" t="inlineStr">
        <is>
          <t>active</t>
        </is>
      </c>
      <c r="N48" s="12" t="inlineStr">
        <is>
          <t>Needs Sourcing</t>
        </is>
      </c>
      <c r="O48" s="6" t="inlineStr">
        <is>
          <t>verified</t>
        </is>
      </c>
      <c r="P48" s="12" t="inlineStr">
        <is>
          <t>Asset Sourcing In Progress</t>
        </is>
      </c>
      <c r="Q48" s="18" t="inlineStr">
        <is>
          <t>Medium</t>
        </is>
      </c>
      <c r="R48" s="6" t="inlineStr">
        <is>
          <t>2026-07-07</t>
        </is>
      </c>
    </row>
    <row r="49">
      <c r="A49" s="67" t="inlineStr">
        <is>
          <t>Imported Quest</t>
        </is>
      </c>
      <c r="B49" s="13" t="inlineStr">
        <is>
          <t>broken-shaker-miami-beach</t>
        </is>
      </c>
      <c r="C49" s="13" t="inlineStr">
        <is>
          <t>The Pop-Up That Stayed</t>
        </is>
      </c>
      <c r="D49" s="13" t="inlineStr">
        <is>
          <t>Broken Shaker at Freehand Miami</t>
        </is>
      </c>
      <c r="E49" s="13" t="inlineStr">
        <is>
          <t>Broken Shaker</t>
        </is>
      </c>
      <c r="F49" s="13" t="inlineStr">
        <is>
          <t>South Beach</t>
        </is>
      </c>
      <c r="G49" s="13" t="inlineStr">
        <is>
          <t>2727 Indian Creek Dr, Miami Beach, FL 33140</t>
        </is>
      </c>
      <c r="H49" s="13" t="inlineStr">
        <is>
          <t>nightlife</t>
        </is>
      </c>
      <c r="I49" s="15" t="inlineStr">
        <is>
          <t>Website</t>
        </is>
      </c>
      <c r="J49" s="15" t="inlineStr">
        <is>
          <t>Reviews</t>
        </is>
      </c>
      <c r="K49" s="15" t="inlineStr">
        <is>
          <t>Instagram</t>
        </is>
      </c>
      <c r="L49" s="7" t="inlineStr">
        <is>
          <t>No Outreach Needed</t>
        </is>
      </c>
      <c r="M49" s="7" t="inlineStr">
        <is>
          <t>active</t>
        </is>
      </c>
      <c r="N49" s="12" t="inlineStr">
        <is>
          <t>Needs Sourcing</t>
        </is>
      </c>
      <c r="O49" s="13" t="inlineStr">
        <is>
          <t>verified</t>
        </is>
      </c>
      <c r="P49" s="12" t="inlineStr">
        <is>
          <t>Asset Sourcing In Progress</t>
        </is>
      </c>
      <c r="Q49" s="18" t="inlineStr">
        <is>
          <t>Medium</t>
        </is>
      </c>
      <c r="R49" s="13" t="inlineStr">
        <is>
          <t>2026-07-07</t>
        </is>
      </c>
    </row>
    <row r="50">
      <c r="A50" s="67" t="inlineStr">
        <is>
          <t>Imported Quest</t>
        </is>
      </c>
      <c r="B50" s="6" t="inlineStr">
        <is>
          <t>espanola-way</t>
        </is>
      </c>
      <c r="C50" s="6" t="inlineStr">
        <is>
          <t>The Spanish Detour</t>
        </is>
      </c>
      <c r="D50" s="6" t="inlineStr">
        <is>
          <t>Española Way</t>
        </is>
      </c>
      <c r="E50" s="6" t="inlineStr">
        <is>
          <t>Española Way</t>
        </is>
      </c>
      <c r="F50" s="6" t="inlineStr">
        <is>
          <t>South Beach</t>
        </is>
      </c>
      <c r="G50" s="6" t="inlineStr">
        <is>
          <t>419 Española Way, Miami Beach, FL 33139</t>
        </is>
      </c>
      <c r="H50" s="6" t="inlineStr">
        <is>
          <t>culture</t>
        </is>
      </c>
      <c r="I50" s="9" t="inlineStr">
        <is>
          <t>Website</t>
        </is>
      </c>
      <c r="J50" s="9" t="inlineStr">
        <is>
          <t>Reviews</t>
        </is>
      </c>
      <c r="K50" s="9" t="inlineStr">
        <is>
          <t>Instagram</t>
        </is>
      </c>
      <c r="L50" s="7" t="inlineStr">
        <is>
          <t>No Outreach Needed</t>
        </is>
      </c>
      <c r="M50" s="7" t="inlineStr">
        <is>
          <t>active</t>
        </is>
      </c>
      <c r="N50" s="12" t="inlineStr">
        <is>
          <t>Needs Sourcing</t>
        </is>
      </c>
      <c r="O50" s="6" t="inlineStr">
        <is>
          <t>verified</t>
        </is>
      </c>
      <c r="P50" s="12" t="inlineStr">
        <is>
          <t>Asset Sourcing In Progress</t>
        </is>
      </c>
      <c r="Q50" s="18" t="inlineStr">
        <is>
          <t>Medium</t>
        </is>
      </c>
      <c r="R50" s="6" t="inlineStr">
        <is>
          <t>2026-07-07</t>
        </is>
      </c>
    </row>
    <row r="51">
      <c r="A51" s="67" t="inlineStr">
        <is>
          <t>Imported Quest</t>
        </is>
      </c>
      <c r="B51" s="13" t="inlineStr">
        <is>
          <t>lummus-park-south-beach</t>
        </is>
      </c>
      <c r="C51" s="13" t="inlineStr">
        <is>
          <t>Postcard Row</t>
        </is>
      </c>
      <c r="D51" s="13" t="inlineStr">
        <is>
          <t>Lummus Park</t>
        </is>
      </c>
      <c r="E51" s="13" t="inlineStr">
        <is>
          <t>Lummus Park</t>
        </is>
      </c>
      <c r="F51" s="13" t="inlineStr">
        <is>
          <t>South Beach</t>
        </is>
      </c>
      <c r="G51" s="13" t="inlineStr">
        <is>
          <t>Ocean Dr (between 5th St and 15th St), Miami Beach, FL 33139</t>
        </is>
      </c>
      <c r="H51" s="13" t="inlineStr">
        <is>
          <t>outdoors</t>
        </is>
      </c>
      <c r="I51" s="15" t="inlineStr">
        <is>
          <t>Website</t>
        </is>
      </c>
      <c r="J51" s="15" t="inlineStr">
        <is>
          <t>Reviews</t>
        </is>
      </c>
      <c r="K51" s="15" t="inlineStr">
        <is>
          <t>Instagram</t>
        </is>
      </c>
      <c r="L51" s="7" t="inlineStr">
        <is>
          <t>No Outreach Needed</t>
        </is>
      </c>
      <c r="M51" s="7" t="inlineStr">
        <is>
          <t>active</t>
        </is>
      </c>
      <c r="N51" s="12" t="inlineStr">
        <is>
          <t>Needs Sourcing</t>
        </is>
      </c>
      <c r="O51" s="13" t="inlineStr">
        <is>
          <t>verified</t>
        </is>
      </c>
      <c r="P51" s="12" t="inlineStr">
        <is>
          <t>Asset Sourcing In Progress</t>
        </is>
      </c>
      <c r="Q51" s="18" t="inlineStr">
        <is>
          <t>Medium</t>
        </is>
      </c>
      <c r="R51" s="13" t="inlineStr">
        <is>
          <t>2026-07-07</t>
        </is>
      </c>
    </row>
    <row r="52">
      <c r="A52" s="67" t="inlineStr">
        <is>
          <t>Imported Quest</t>
        </is>
      </c>
      <c r="B52" s="6" t="inlineStr">
        <is>
          <t>macs-club-deuce</t>
        </is>
      </c>
      <c r="C52" s="6" t="inlineStr">
        <is>
          <t>The Hundred-Year Dive</t>
        </is>
      </c>
      <c r="D52" s="6" t="inlineStr">
        <is>
          <t>Mac's Club Deuce</t>
        </is>
      </c>
      <c r="E52" s="6" t="inlineStr">
        <is>
          <t>Mac's Club Deuce</t>
        </is>
      </c>
      <c r="F52" s="6" t="inlineStr">
        <is>
          <t>South Beach</t>
        </is>
      </c>
      <c r="G52" s="6" t="inlineStr">
        <is>
          <t>222 14th St, Miami Beach, FL 33139</t>
        </is>
      </c>
      <c r="H52" s="6" t="inlineStr">
        <is>
          <t>nightlife</t>
        </is>
      </c>
      <c r="I52" s="9" t="inlineStr">
        <is>
          <t>Website</t>
        </is>
      </c>
      <c r="J52" s="9" t="inlineStr">
        <is>
          <t>Reviews</t>
        </is>
      </c>
      <c r="K52" s="9" t="inlineStr">
        <is>
          <t>Instagram</t>
        </is>
      </c>
      <c r="L52" s="7" t="inlineStr">
        <is>
          <t>No Outreach Needed</t>
        </is>
      </c>
      <c r="M52" s="7" t="inlineStr">
        <is>
          <t>active</t>
        </is>
      </c>
      <c r="N52" s="12" t="inlineStr">
        <is>
          <t>Needs Sourcing</t>
        </is>
      </c>
      <c r="O52" s="6" t="inlineStr">
        <is>
          <t>verified</t>
        </is>
      </c>
      <c r="P52" s="12" t="inlineStr">
        <is>
          <t>Asset Sourcing In Progress</t>
        </is>
      </c>
      <c r="Q52" s="18" t="inlineStr">
        <is>
          <t>Medium</t>
        </is>
      </c>
      <c r="R52" s="6" t="inlineStr">
        <is>
          <t>2026-07-07</t>
        </is>
      </c>
    </row>
    <row r="53">
      <c r="A53" s="67" t="inlineStr">
        <is>
          <t>Imported Quest</t>
        </is>
      </c>
      <c r="B53" s="13" t="inlineStr">
        <is>
          <t>rosetta-bakery-south-beach</t>
        </is>
      </c>
      <c r="C53" s="13" t="inlineStr">
        <is>
          <t>La Dolce Collins</t>
        </is>
      </c>
      <c r="D53" s="13" t="inlineStr">
        <is>
          <t>Rosetta Bakery - South Beach</t>
        </is>
      </c>
      <c r="E53" s="13" t="inlineStr">
        <is>
          <t>Rosetta Bakery</t>
        </is>
      </c>
      <c r="F53" s="13" t="inlineStr">
        <is>
          <t>South Beach</t>
        </is>
      </c>
      <c r="G53" s="13" t="inlineStr">
        <is>
          <t>1666 Collins Ave, Miami Beach, FL 33139</t>
        </is>
      </c>
      <c r="H53" s="13" t="inlineStr">
        <is>
          <t>food</t>
        </is>
      </c>
      <c r="I53" s="15" t="inlineStr">
        <is>
          <t>Website</t>
        </is>
      </c>
      <c r="J53" s="15" t="inlineStr">
        <is>
          <t>Reviews</t>
        </is>
      </c>
      <c r="K53" s="15" t="inlineStr">
        <is>
          <t>Instagram</t>
        </is>
      </c>
      <c r="L53" s="7" t="inlineStr">
        <is>
          <t>No Outreach Needed</t>
        </is>
      </c>
      <c r="M53" s="7" t="inlineStr">
        <is>
          <t>active</t>
        </is>
      </c>
      <c r="N53" s="12" t="inlineStr">
        <is>
          <t>Needs Sourcing</t>
        </is>
      </c>
      <c r="O53" s="13" t="inlineStr">
        <is>
          <t>verified</t>
        </is>
      </c>
      <c r="P53" s="12" t="inlineStr">
        <is>
          <t>Asset Sourcing In Progress</t>
        </is>
      </c>
      <c r="Q53" s="18" t="inlineStr">
        <is>
          <t>Medium</t>
        </is>
      </c>
      <c r="R53" s="13" t="inlineStr">
        <is>
          <t>2026-07-07</t>
        </is>
      </c>
    </row>
    <row r="54">
      <c r="A54" s="67" t="inlineStr">
        <is>
          <t>Imported Quest</t>
        </is>
      </c>
      <c r="B54" s="6" t="inlineStr">
        <is>
          <t>the-bass-south-beach</t>
        </is>
      </c>
      <c r="C54" s="6" t="inlineStr">
        <is>
          <t>Bass Notes</t>
        </is>
      </c>
      <c r="D54" s="6" t="inlineStr">
        <is>
          <t>The Bass</t>
        </is>
      </c>
      <c r="E54" s="6" t="inlineStr">
        <is>
          <t>The Bass</t>
        </is>
      </c>
      <c r="F54" s="6" t="inlineStr">
        <is>
          <t>South Beach</t>
        </is>
      </c>
      <c r="G54" s="6" t="inlineStr">
        <is>
          <t>2100 Collins Ave, Miami Beach, FL 33139</t>
        </is>
      </c>
      <c r="H54" s="6" t="inlineStr">
        <is>
          <t>art</t>
        </is>
      </c>
      <c r="I54" s="9" t="inlineStr">
        <is>
          <t>Website</t>
        </is>
      </c>
      <c r="J54" s="9" t="inlineStr">
        <is>
          <t>Reviews</t>
        </is>
      </c>
      <c r="K54" s="9" t="inlineStr">
        <is>
          <t>Instagram</t>
        </is>
      </c>
      <c r="L54" s="7" t="inlineStr">
        <is>
          <t>No Outreach Needed</t>
        </is>
      </c>
      <c r="M54" s="7" t="inlineStr">
        <is>
          <t>active</t>
        </is>
      </c>
      <c r="N54" s="12" t="inlineStr">
        <is>
          <t>Needs Sourcing</t>
        </is>
      </c>
      <c r="O54" s="6" t="inlineStr">
        <is>
          <t>verified</t>
        </is>
      </c>
      <c r="P54" s="12" t="inlineStr">
        <is>
          <t>Asset Sourcing In Progress</t>
        </is>
      </c>
      <c r="Q54" s="18" t="inlineStr">
        <is>
          <t>Medium</t>
        </is>
      </c>
      <c r="R54" s="6" t="inlineStr">
        <is>
          <t>2026-07-07</t>
        </is>
      </c>
    </row>
    <row r="55">
      <c r="A55" s="67" t="inlineStr">
        <is>
          <t>Imported Quest</t>
        </is>
      </c>
      <c r="B55" s="13" t="inlineStr">
        <is>
          <t>temple-house-south-beach</t>
        </is>
      </c>
      <c r="C55" s="13" t="inlineStr">
        <is>
          <t>Deco in Disguise</t>
        </is>
      </c>
      <c r="D55" s="13" t="inlineStr">
        <is>
          <t>The Temple House</t>
        </is>
      </c>
      <c r="E55" s="13" t="inlineStr">
        <is>
          <t>The Temple House</t>
        </is>
      </c>
      <c r="F55" s="13" t="inlineStr">
        <is>
          <t>South Beach</t>
        </is>
      </c>
      <c r="G55" s="13" t="inlineStr">
        <is>
          <t>1415 Euclid Ave, Miami Beach, FL 33139</t>
        </is>
      </c>
      <c r="H55" s="13" t="inlineStr">
        <is>
          <t>culture</t>
        </is>
      </c>
      <c r="I55" s="15" t="inlineStr">
        <is>
          <t>Website</t>
        </is>
      </c>
      <c r="J55" s="15" t="inlineStr">
        <is>
          <t>Reviews</t>
        </is>
      </c>
      <c r="K55" s="15" t="inlineStr">
        <is>
          <t>Instagram</t>
        </is>
      </c>
      <c r="L55" s="7" t="inlineStr">
        <is>
          <t>No Outreach Needed</t>
        </is>
      </c>
      <c r="M55" s="7" t="inlineStr">
        <is>
          <t>active</t>
        </is>
      </c>
      <c r="N55" s="12" t="inlineStr">
        <is>
          <t>Needs Sourcing</t>
        </is>
      </c>
      <c r="O55" s="13" t="inlineStr">
        <is>
          <t>verified</t>
        </is>
      </c>
      <c r="P55" s="12" t="inlineStr">
        <is>
          <t>Asset Sourcing In Progress</t>
        </is>
      </c>
      <c r="Q55" s="18" t="inlineStr">
        <is>
          <t>Medium</t>
        </is>
      </c>
      <c r="R55" s="13" t="inlineStr">
        <is>
          <t>2026-07-07</t>
        </is>
      </c>
    </row>
    <row r="56">
      <c r="A56" s="67" t="inlineStr">
        <is>
          <t>Imported Quest</t>
        </is>
      </c>
      <c r="B56" s="6" t="inlineStr">
        <is>
          <t>under-the-mango-tree-sofi</t>
        </is>
      </c>
      <c r="C56" s="6" t="inlineStr">
        <is>
          <t>Mango State of Mind</t>
        </is>
      </c>
      <c r="D56" s="6" t="inlineStr">
        <is>
          <t>Under the Mango Tree</t>
        </is>
      </c>
      <c r="E56" s="6" t="inlineStr">
        <is>
          <t>Under the Mango Tree</t>
        </is>
      </c>
      <c r="F56" s="6" t="inlineStr">
        <is>
          <t>South Beach (South of Fifth)</t>
        </is>
      </c>
      <c r="G56" s="6" t="inlineStr">
        <is>
          <t>737 5th St, Miami Beach, FL 33139</t>
        </is>
      </c>
      <c r="H56" s="6" t="inlineStr">
        <is>
          <t>food</t>
        </is>
      </c>
      <c r="I56" s="9" t="inlineStr">
        <is>
          <t>Website</t>
        </is>
      </c>
      <c r="J56" s="9" t="inlineStr">
        <is>
          <t>Reviews</t>
        </is>
      </c>
      <c r="K56" s="9" t="inlineStr">
        <is>
          <t>Instagram</t>
        </is>
      </c>
      <c r="L56" s="7" t="inlineStr">
        <is>
          <t>No Outreach Needed</t>
        </is>
      </c>
      <c r="M56" s="7" t="inlineStr">
        <is>
          <t>active</t>
        </is>
      </c>
      <c r="N56" s="12" t="inlineStr">
        <is>
          <t>Needs Sourcing</t>
        </is>
      </c>
      <c r="O56" s="6" t="inlineStr">
        <is>
          <t>verified</t>
        </is>
      </c>
      <c r="P56" s="12" t="inlineStr">
        <is>
          <t>Asset Sourcing In Progress</t>
        </is>
      </c>
      <c r="Q56" s="18" t="inlineStr">
        <is>
          <t>Medium</t>
        </is>
      </c>
      <c r="R56" s="6" t="inlineStr">
        <is>
          <t>2026-07-07</t>
        </is>
      </c>
    </row>
    <row r="57">
      <c r="A57" s="67" t="inlineStr">
        <is>
          <t>Imported Quest</t>
        </is>
      </c>
      <c r="B57" s="13" t="inlineStr">
        <is>
          <t>joia-beach-watson-island</t>
        </is>
      </c>
      <c r="C57" s="13" t="inlineStr">
        <is>
          <t>Island Detour</t>
        </is>
      </c>
      <c r="D57" s="13" t="inlineStr">
        <is>
          <t>Joia Beach Restaurant and Beach Club</t>
        </is>
      </c>
      <c r="E57" s="13" t="inlineStr">
        <is>
          <t>Joia Beach</t>
        </is>
      </c>
      <c r="F57" s="13" t="inlineStr">
        <is>
          <t>Watson Island</t>
        </is>
      </c>
      <c r="G57" s="13" t="inlineStr">
        <is>
          <t>1111 Parrot Jungle Trail, Miami, FL 33132</t>
        </is>
      </c>
      <c r="H57" s="13" t="inlineStr">
        <is>
          <t>outdoors</t>
        </is>
      </c>
      <c r="I57" s="15" t="inlineStr">
        <is>
          <t>Website</t>
        </is>
      </c>
      <c r="J57" s="15" t="inlineStr">
        <is>
          <t>Reviews</t>
        </is>
      </c>
      <c r="K57" s="15" t="inlineStr">
        <is>
          <t>Instagram</t>
        </is>
      </c>
      <c r="L57" s="7" t="inlineStr">
        <is>
          <t>No Outreach Needed</t>
        </is>
      </c>
      <c r="M57" s="7" t="inlineStr">
        <is>
          <t>active</t>
        </is>
      </c>
      <c r="N57" s="12" t="inlineStr">
        <is>
          <t>Needs Sourcing</t>
        </is>
      </c>
      <c r="O57" s="13" t="inlineStr">
        <is>
          <t>verified</t>
        </is>
      </c>
      <c r="P57" s="12" t="inlineStr">
        <is>
          <t>Asset Sourcing In Progress</t>
        </is>
      </c>
      <c r="Q57" s="18" t="inlineStr">
        <is>
          <t>Medium</t>
        </is>
      </c>
      <c r="R57" s="13" t="inlineStr">
        <is>
          <t>2026-07-07</t>
        </is>
      </c>
    </row>
    <row r="58">
      <c r="A58" s="67" t="inlineStr">
        <is>
          <t>Imported Quest</t>
        </is>
      </c>
      <c r="B58" s="6" t="inlineStr">
        <is>
          <t>jungle-island</t>
        </is>
      </c>
      <c r="C58" s="6" t="inlineStr">
        <is>
          <t>The Wild Side of Watson Island</t>
        </is>
      </c>
      <c r="D58" s="6" t="inlineStr">
        <is>
          <t>Jungle Island</t>
        </is>
      </c>
      <c r="E58" s="6" t="inlineStr">
        <is>
          <t>Jungle Island</t>
        </is>
      </c>
      <c r="F58" s="6" t="inlineStr">
        <is>
          <t>Watson Island</t>
        </is>
      </c>
      <c r="G58" s="6" t="inlineStr">
        <is>
          <t>1111 Parrot Jungle Trail, Miami, FL 33132</t>
        </is>
      </c>
      <c r="H58" s="6" t="inlineStr">
        <is>
          <t>outdoors</t>
        </is>
      </c>
      <c r="I58" s="9" t="inlineStr">
        <is>
          <t>Website</t>
        </is>
      </c>
      <c r="J58" s="9" t="inlineStr">
        <is>
          <t>Reviews</t>
        </is>
      </c>
      <c r="K58" s="9" t="inlineStr">
        <is>
          <t>Instagram</t>
        </is>
      </c>
      <c r="L58" s="7" t="inlineStr">
        <is>
          <t>No Outreach Needed</t>
        </is>
      </c>
      <c r="M58" s="7" t="inlineStr">
        <is>
          <t>active</t>
        </is>
      </c>
      <c r="N58" s="12" t="inlineStr">
        <is>
          <t>Needs Sourcing</t>
        </is>
      </c>
      <c r="O58" s="6" t="inlineStr">
        <is>
          <t>verified</t>
        </is>
      </c>
      <c r="P58" s="12" t="inlineStr">
        <is>
          <t>Asset Sourcing In Progress</t>
        </is>
      </c>
      <c r="Q58" s="18" t="inlineStr">
        <is>
          <t>Medium</t>
        </is>
      </c>
      <c r="R58" s="6" t="inlineStr">
        <is>
          <t>2026-07-07</t>
        </is>
      </c>
    </row>
    <row r="59">
      <c r="A59" s="67" t="inlineStr">
        <is>
          <t>Imported Quest</t>
        </is>
      </c>
      <c r="B59" s="13" t="inlineStr">
        <is>
          <t>1800-lucky-wynwood</t>
        </is>
      </c>
      <c r="C59" s="13" t="inlineStr">
        <is>
          <t>Six Ways Lucky</t>
        </is>
      </c>
      <c r="D59" s="13" t="inlineStr">
        <is>
          <t>1-800-Lucky</t>
        </is>
      </c>
      <c r="E59" s="13" t="inlineStr">
        <is>
          <t>1-800-Lucky</t>
        </is>
      </c>
      <c r="F59" s="13" t="inlineStr">
        <is>
          <t>Wynwood</t>
        </is>
      </c>
      <c r="G59" s="13" t="inlineStr">
        <is>
          <t>143 NW 23rd St, Miami, FL 33127</t>
        </is>
      </c>
      <c r="H59" s="13" t="inlineStr">
        <is>
          <t>food</t>
        </is>
      </c>
      <c r="I59" s="15" t="inlineStr">
        <is>
          <t>Website</t>
        </is>
      </c>
      <c r="J59" s="15" t="inlineStr">
        <is>
          <t>Reviews</t>
        </is>
      </c>
      <c r="K59" s="15" t="inlineStr">
        <is>
          <t>Instagram</t>
        </is>
      </c>
      <c r="L59" s="7" t="inlineStr">
        <is>
          <t>No Outreach Needed</t>
        </is>
      </c>
      <c r="M59" s="7" t="inlineStr">
        <is>
          <t>active</t>
        </is>
      </c>
      <c r="N59" s="12" t="inlineStr">
        <is>
          <t>Needs Sourcing</t>
        </is>
      </c>
      <c r="O59" s="13" t="inlineStr">
        <is>
          <t>verified</t>
        </is>
      </c>
      <c r="P59" s="12" t="inlineStr">
        <is>
          <t>Asset Sourcing In Progress</t>
        </is>
      </c>
      <c r="Q59" s="18" t="inlineStr">
        <is>
          <t>Medium</t>
        </is>
      </c>
      <c r="R59" s="13" t="inlineStr">
        <is>
          <t>2026-07-07</t>
        </is>
      </c>
    </row>
    <row r="60">
      <c r="A60" s="67" t="inlineStr">
        <is>
          <t>Imported Quest</t>
        </is>
      </c>
      <c r="B60" s="6" t="inlineStr">
        <is>
          <t>dantes-hifi-wynwood</t>
        </is>
      </c>
      <c r="C60" s="6" t="inlineStr">
        <is>
          <t>Drop the Needle</t>
        </is>
      </c>
      <c r="D60" s="6" t="inlineStr">
        <is>
          <t>Dante's HiFi</t>
        </is>
      </c>
      <c r="E60" s="6" t="inlineStr">
        <is>
          <t>Dante's HiFi</t>
        </is>
      </c>
      <c r="F60" s="6" t="inlineStr">
        <is>
          <t>Wynwood</t>
        </is>
      </c>
      <c r="G60" s="6" t="inlineStr">
        <is>
          <t>519 NW 26th St, Miami, FL 33127</t>
        </is>
      </c>
      <c r="H60" s="6" t="inlineStr">
        <is>
          <t>nightlife</t>
        </is>
      </c>
      <c r="I60" s="9" t="inlineStr">
        <is>
          <t>Website</t>
        </is>
      </c>
      <c r="J60" s="9" t="inlineStr">
        <is>
          <t>Reviews</t>
        </is>
      </c>
      <c r="K60" s="9" t="inlineStr">
        <is>
          <t>Instagram</t>
        </is>
      </c>
      <c r="L60" s="7" t="inlineStr">
        <is>
          <t>No Outreach Needed</t>
        </is>
      </c>
      <c r="M60" s="7" t="inlineStr">
        <is>
          <t>active</t>
        </is>
      </c>
      <c r="N60" s="12" t="inlineStr">
        <is>
          <t>Needs Sourcing</t>
        </is>
      </c>
      <c r="O60" s="6" t="inlineStr">
        <is>
          <t>verified</t>
        </is>
      </c>
      <c r="P60" s="12" t="inlineStr">
        <is>
          <t>Asset Sourcing In Progress</t>
        </is>
      </c>
      <c r="Q60" s="18" t="inlineStr">
        <is>
          <t>Medium</t>
        </is>
      </c>
      <c r="R60" s="6" t="inlineStr">
        <is>
          <t>2026-07-07</t>
        </is>
      </c>
    </row>
    <row r="61">
      <c r="A61" s="67" t="inlineStr">
        <is>
          <t>Imported Quest</t>
        </is>
      </c>
      <c r="B61" s="13" t="inlineStr">
        <is>
          <t>dasher-and-crank-wynwood</t>
        </is>
      </c>
      <c r="C61" s="13" t="inlineStr">
        <is>
          <t>The Dasher &amp; Crank Riddle</t>
        </is>
      </c>
      <c r="D61" s="13" t="inlineStr">
        <is>
          <t>Dasher &amp; Crank</t>
        </is>
      </c>
      <c r="E61" s="13" t="inlineStr">
        <is>
          <t>Dasher &amp; Crank</t>
        </is>
      </c>
      <c r="F61" s="13" t="inlineStr">
        <is>
          <t>Wynwood</t>
        </is>
      </c>
      <c r="G61" s="13" t="inlineStr">
        <is>
          <t>2211 NW 2nd Ave, Miami, FL 33127</t>
        </is>
      </c>
      <c r="H61" s="13" t="inlineStr">
        <is>
          <t>food</t>
        </is>
      </c>
      <c r="I61" s="15" t="inlineStr">
        <is>
          <t>Website</t>
        </is>
      </c>
      <c r="J61" s="15" t="inlineStr">
        <is>
          <t>Reviews</t>
        </is>
      </c>
      <c r="K61" s="15" t="inlineStr">
        <is>
          <t>Instagram</t>
        </is>
      </c>
      <c r="L61" s="7" t="inlineStr">
        <is>
          <t>No Outreach Needed</t>
        </is>
      </c>
      <c r="M61" s="7" t="inlineStr">
        <is>
          <t>active</t>
        </is>
      </c>
      <c r="N61" s="12" t="inlineStr">
        <is>
          <t>Needs Sourcing</t>
        </is>
      </c>
      <c r="O61" s="13" t="inlineStr">
        <is>
          <t>verified</t>
        </is>
      </c>
      <c r="P61" s="12" t="inlineStr">
        <is>
          <t>Asset Sourcing In Progress</t>
        </is>
      </c>
      <c r="Q61" s="18" t="inlineStr">
        <is>
          <t>Medium</t>
        </is>
      </c>
      <c r="R61" s="13" t="inlineStr">
        <is>
          <t>2026-07-07</t>
        </is>
      </c>
    </row>
    <row r="62">
      <c r="A62" s="67" t="inlineStr">
        <is>
          <t>Imported Quest</t>
        </is>
      </c>
      <c r="B62" s="6" t="inlineStr">
        <is>
          <t>miam-cafe-wynwood</t>
        </is>
      </c>
      <c r="C62" s="6" t="inlineStr">
        <is>
          <t>Say 'Miam'</t>
        </is>
      </c>
      <c r="D62" s="6" t="inlineStr">
        <is>
          <t>Miam Café - Wynwood</t>
        </is>
      </c>
      <c r="E62" s="6" t="inlineStr">
        <is>
          <t>Miam Café</t>
        </is>
      </c>
      <c r="F62" s="6" t="inlineStr">
        <is>
          <t>Wynwood</t>
        </is>
      </c>
      <c r="G62" s="6" t="inlineStr">
        <is>
          <t>2750 NW 3rd Ave, Miami, FL 33127</t>
        </is>
      </c>
      <c r="H62" s="6" t="inlineStr">
        <is>
          <t>food</t>
        </is>
      </c>
      <c r="I62" s="9" t="inlineStr">
        <is>
          <t>Website</t>
        </is>
      </c>
      <c r="J62" s="9" t="inlineStr">
        <is>
          <t>Reviews</t>
        </is>
      </c>
      <c r="K62" s="9" t="inlineStr">
        <is>
          <t>Instagram</t>
        </is>
      </c>
      <c r="L62" s="7" t="inlineStr">
        <is>
          <t>No Outreach Needed</t>
        </is>
      </c>
      <c r="M62" s="7" t="inlineStr">
        <is>
          <t>active</t>
        </is>
      </c>
      <c r="N62" s="12" t="inlineStr">
        <is>
          <t>Needs Sourcing</t>
        </is>
      </c>
      <c r="O62" s="6" t="inlineStr">
        <is>
          <t>verified</t>
        </is>
      </c>
      <c r="P62" s="12" t="inlineStr">
        <is>
          <t>Asset Sourcing In Progress</t>
        </is>
      </c>
      <c r="Q62" s="18" t="inlineStr">
        <is>
          <t>Medium</t>
        </is>
      </c>
      <c r="R62" s="6" t="inlineStr">
        <is>
          <t>2026-07-07</t>
        </is>
      </c>
    </row>
    <row r="63">
      <c r="A63" s="67" t="inlineStr">
        <is>
          <t>Imported Quest</t>
        </is>
      </c>
      <c r="B63" s="13" t="inlineStr">
        <is>
          <t>panther-coffee-wynwood</t>
        </is>
      </c>
      <c r="C63" s="13" t="inlineStr">
        <is>
          <t>The Wynwood Original</t>
        </is>
      </c>
      <c r="D63" s="13" t="inlineStr">
        <is>
          <t>Panther Coffee - Wynwood</t>
        </is>
      </c>
      <c r="E63" s="13" t="inlineStr">
        <is>
          <t>Panther Coffee</t>
        </is>
      </c>
      <c r="F63" s="13" t="inlineStr">
        <is>
          <t>Wynwood</t>
        </is>
      </c>
      <c r="G63" s="13" t="inlineStr">
        <is>
          <t>2390 NW 2nd Ave, Miami, FL 33127</t>
        </is>
      </c>
      <c r="H63" s="13" t="inlineStr">
        <is>
          <t>food</t>
        </is>
      </c>
      <c r="I63" s="15" t="inlineStr">
        <is>
          <t>Website</t>
        </is>
      </c>
      <c r="J63" s="15" t="inlineStr">
        <is>
          <t>Reviews</t>
        </is>
      </c>
      <c r="K63" s="15" t="inlineStr">
        <is>
          <t>Instagram</t>
        </is>
      </c>
      <c r="L63" s="7" t="inlineStr">
        <is>
          <t>No Outreach Needed</t>
        </is>
      </c>
      <c r="M63" s="7" t="inlineStr">
        <is>
          <t>active</t>
        </is>
      </c>
      <c r="N63" s="12" t="inlineStr">
        <is>
          <t>Needs Sourcing</t>
        </is>
      </c>
      <c r="O63" s="13" t="inlineStr">
        <is>
          <t>verified</t>
        </is>
      </c>
      <c r="P63" s="12" t="inlineStr">
        <is>
          <t>Asset Sourcing In Progress</t>
        </is>
      </c>
      <c r="Q63" s="18" t="inlineStr">
        <is>
          <t>Medium</t>
        </is>
      </c>
      <c r="R63" s="13" t="inlineStr">
        <is>
          <t>2026-07-07</t>
        </is>
      </c>
    </row>
    <row r="64">
      <c r="A64" s="67" t="inlineStr">
        <is>
          <t>Imported Quest</t>
        </is>
      </c>
      <c r="B64" s="6" t="inlineStr">
        <is>
          <t>salty-donut-wynwood</t>
        </is>
      </c>
      <c r="C64" s="6" t="inlineStr">
        <is>
          <t>Donuts, Coffee, Vibes</t>
        </is>
      </c>
      <c r="D64" s="6" t="inlineStr">
        <is>
          <t>The Salty Donut - Wynwood</t>
        </is>
      </c>
      <c r="E64" s="6" t="inlineStr">
        <is>
          <t>The Salty Donut</t>
        </is>
      </c>
      <c r="F64" s="6" t="inlineStr">
        <is>
          <t>Wynwood</t>
        </is>
      </c>
      <c r="G64" s="6" t="inlineStr">
        <is>
          <t>50 NW 24th St, Unit 106, Miami, FL 33127</t>
        </is>
      </c>
      <c r="H64" s="6" t="inlineStr">
        <is>
          <t>food</t>
        </is>
      </c>
      <c r="I64" s="9" t="inlineStr">
        <is>
          <t>Website</t>
        </is>
      </c>
      <c r="J64" s="9" t="inlineStr">
        <is>
          <t>Reviews</t>
        </is>
      </c>
      <c r="K64" s="9" t="inlineStr">
        <is>
          <t>Instagram</t>
        </is>
      </c>
      <c r="L64" s="7" t="inlineStr">
        <is>
          <t>No Outreach Needed</t>
        </is>
      </c>
      <c r="M64" s="7" t="inlineStr">
        <is>
          <t>active</t>
        </is>
      </c>
      <c r="N64" s="12" t="inlineStr">
        <is>
          <t>Needs Sourcing</t>
        </is>
      </c>
      <c r="O64" s="6" t="inlineStr">
        <is>
          <t>verified</t>
        </is>
      </c>
      <c r="P64" s="12" t="inlineStr">
        <is>
          <t>Asset Sourcing In Progress</t>
        </is>
      </c>
      <c r="Q64" s="18" t="inlineStr">
        <is>
          <t>Medium</t>
        </is>
      </c>
      <c r="R64" s="6" t="inlineStr">
        <is>
          <t>2026-07-07</t>
        </is>
      </c>
    </row>
    <row r="65">
      <c r="A65" s="67" t="inlineStr">
        <is>
          <t>Imported Quest</t>
        </is>
      </c>
      <c r="B65" s="13" t="inlineStr">
        <is>
          <t>wynwood-walls</t>
        </is>
      </c>
      <c r="C65" s="13" t="inlineStr">
        <is>
          <t>Walls That Talk</t>
        </is>
      </c>
      <c r="D65" s="13" t="inlineStr">
        <is>
          <t>Wynwood Walls</t>
        </is>
      </c>
      <c r="E65" s="13" t="inlineStr">
        <is>
          <t>Wynwood Walls</t>
        </is>
      </c>
      <c r="F65" s="13" t="inlineStr">
        <is>
          <t>Wynwood</t>
        </is>
      </c>
      <c r="G65" s="13" t="inlineStr">
        <is>
          <t>2516 NW 2nd Ave, Miami, FL 33127</t>
        </is>
      </c>
      <c r="H65" s="13" t="inlineStr">
        <is>
          <t>art</t>
        </is>
      </c>
      <c r="I65" s="15" t="inlineStr">
        <is>
          <t>Website</t>
        </is>
      </c>
      <c r="J65" s="15" t="inlineStr">
        <is>
          <t>Reviews</t>
        </is>
      </c>
      <c r="K65" s="15" t="inlineStr">
        <is>
          <t>Instagram</t>
        </is>
      </c>
      <c r="L65" s="7" t="inlineStr">
        <is>
          <t>No Outreach Needed</t>
        </is>
      </c>
      <c r="M65" s="7" t="inlineStr">
        <is>
          <t>active</t>
        </is>
      </c>
      <c r="N65" s="12" t="inlineStr">
        <is>
          <t>Needs Sourcing</t>
        </is>
      </c>
      <c r="O65" s="13" t="inlineStr">
        <is>
          <t>verified</t>
        </is>
      </c>
      <c r="P65" s="12" t="inlineStr">
        <is>
          <t>Asset Sourcing In Progress</t>
        </is>
      </c>
      <c r="Q65" s="18" t="inlineStr">
        <is>
          <t>Medium</t>
        </is>
      </c>
      <c r="R65" s="13" t="inlineStr">
        <is>
          <t>2026-07-07</t>
        </is>
      </c>
    </row>
    <row r="66">
      <c r="A66" s="68" t="inlineStr">
        <is>
          <t>Pending CRM Lead (not yet imported)</t>
        </is>
      </c>
      <c r="B66" s="6" t="inlineStr">
        <is>
          <t>miami-supercar-rooms</t>
        </is>
      </c>
      <c r="C66" s="6" t="inlineStr">
        <is>
          <t>Miami Supercar Rooms</t>
        </is>
      </c>
      <c r="D66" s="6" t="inlineStr">
        <is>
          <t>Miami Supercar Rooms</t>
        </is>
      </c>
      <c r="E66" s="6" t="inlineStr">
        <is>
          <t>Miami Supercar Rooms</t>
        </is>
      </c>
      <c r="F66" s="6" t="inlineStr">
        <is>
          <t>Wynwood</t>
        </is>
      </c>
      <c r="G66" s="6" t="inlineStr">
        <is>
          <t>2022 NW 1st Ct</t>
        </is>
      </c>
      <c r="H66" s="6" t="n"/>
      <c r="I66" s="9" t="inlineStr">
        <is>
          <t>Website</t>
        </is>
      </c>
      <c r="J66" s="9" t="inlineStr">
        <is>
          <t>Reviews</t>
        </is>
      </c>
      <c r="K66" s="9" t="inlineStr">
        <is>
          <t>Instagram</t>
        </is>
      </c>
      <c r="L66" s="19" t="inlineStr">
        <is>
          <t>Outreach Required</t>
        </is>
      </c>
      <c r="M66" s="19" t="inlineStr">
        <is>
          <t>pending</t>
        </is>
      </c>
      <c r="N66" s="68" t="inlineStr">
        <is>
          <t>N/A - Not Imported</t>
        </is>
      </c>
      <c r="O66" s="6" t="inlineStr">
        <is>
          <t>verified</t>
        </is>
      </c>
      <c r="P66" s="19" t="inlineStr">
        <is>
          <t>Pending Import</t>
        </is>
      </c>
      <c r="Q66" s="19" t="inlineStr">
        <is>
          <t>High</t>
        </is>
      </c>
      <c r="R66" s="6" t="inlineStr">
        <is>
          <t>2026-07-07</t>
        </is>
      </c>
    </row>
    <row r="67">
      <c r="A67" s="68" t="inlineStr">
        <is>
          <t>Pending CRM Lead (not yet imported)</t>
        </is>
      </c>
      <c r="B67" s="13" t="inlineStr">
        <is>
          <t>miami-beach-boardwalk</t>
        </is>
      </c>
      <c r="C67" s="13" t="inlineStr">
        <is>
          <t>Miami Beach Boardwalk (Beachwalk)</t>
        </is>
      </c>
      <c r="D67" s="13" t="inlineStr">
        <is>
          <t>Miami Beach Boardwalk (Beachwalk)</t>
        </is>
      </c>
      <c r="E67" s="13" t="inlineStr">
        <is>
          <t>Miami Beach Boardwalk (Beachwalk)</t>
        </is>
      </c>
      <c r="F67" s="13" t="inlineStr">
        <is>
          <t>Mid-Beach</t>
        </is>
      </c>
      <c r="G67" s="13" t="n"/>
      <c r="H67" s="13" t="n"/>
      <c r="I67" s="15" t="inlineStr">
        <is>
          <t>Website</t>
        </is>
      </c>
      <c r="J67" s="15" t="inlineStr">
        <is>
          <t>Reviews</t>
        </is>
      </c>
      <c r="K67" s="13" t="n"/>
      <c r="L67" s="19" t="inlineStr">
        <is>
          <t>Outreach Required</t>
        </is>
      </c>
      <c r="M67" s="19" t="inlineStr">
        <is>
          <t>pending</t>
        </is>
      </c>
      <c r="N67" s="68" t="inlineStr">
        <is>
          <t>N/A - Not Imported</t>
        </is>
      </c>
      <c r="O67" s="13" t="inlineStr">
        <is>
          <t>verified</t>
        </is>
      </c>
      <c r="P67" s="19" t="inlineStr">
        <is>
          <t>Pending Import</t>
        </is>
      </c>
      <c r="Q67" s="19" t="inlineStr">
        <is>
          <t>High</t>
        </is>
      </c>
      <c r="R67" s="13" t="inlineStr">
        <is>
          <t>2026-07-07</t>
        </is>
      </c>
    </row>
  </sheetData>
  <autoFilter ref="A3:R67"/>
  <hyperlinks>
    <hyperlink xmlns:r="http://schemas.openxmlformats.org/officeDocument/2006/relationships" ref="I4" r:id="rId1"/>
    <hyperlink xmlns:r="http://schemas.openxmlformats.org/officeDocument/2006/relationships" ref="J4" r:id="rId2"/>
    <hyperlink xmlns:r="http://schemas.openxmlformats.org/officeDocument/2006/relationships" ref="K4" r:id="rId3"/>
    <hyperlink xmlns:r="http://schemas.openxmlformats.org/officeDocument/2006/relationships" ref="I5" r:id="rId4"/>
    <hyperlink xmlns:r="http://schemas.openxmlformats.org/officeDocument/2006/relationships" ref="J5" r:id="rId5"/>
    <hyperlink xmlns:r="http://schemas.openxmlformats.org/officeDocument/2006/relationships" ref="K5" r:id="rId6"/>
    <hyperlink xmlns:r="http://schemas.openxmlformats.org/officeDocument/2006/relationships" ref="I6" r:id="rId7"/>
    <hyperlink xmlns:r="http://schemas.openxmlformats.org/officeDocument/2006/relationships" ref="J6" r:id="rId8"/>
    <hyperlink xmlns:r="http://schemas.openxmlformats.org/officeDocument/2006/relationships" ref="K6" r:id="rId9"/>
    <hyperlink xmlns:r="http://schemas.openxmlformats.org/officeDocument/2006/relationships" ref="I7" r:id="rId10"/>
    <hyperlink xmlns:r="http://schemas.openxmlformats.org/officeDocument/2006/relationships" ref="J7" r:id="rId11"/>
    <hyperlink xmlns:r="http://schemas.openxmlformats.org/officeDocument/2006/relationships" ref="K7" r:id="rId12"/>
    <hyperlink xmlns:r="http://schemas.openxmlformats.org/officeDocument/2006/relationships" ref="I8" r:id="rId13"/>
    <hyperlink xmlns:r="http://schemas.openxmlformats.org/officeDocument/2006/relationships" ref="J8" r:id="rId14"/>
    <hyperlink xmlns:r="http://schemas.openxmlformats.org/officeDocument/2006/relationships" ref="K8" r:id="rId15"/>
    <hyperlink xmlns:r="http://schemas.openxmlformats.org/officeDocument/2006/relationships" ref="I9" r:id="rId16"/>
    <hyperlink xmlns:r="http://schemas.openxmlformats.org/officeDocument/2006/relationships" ref="J9" r:id="rId17"/>
    <hyperlink xmlns:r="http://schemas.openxmlformats.org/officeDocument/2006/relationships" ref="I10" r:id="rId18"/>
    <hyperlink xmlns:r="http://schemas.openxmlformats.org/officeDocument/2006/relationships" ref="J10" r:id="rId19"/>
    <hyperlink xmlns:r="http://schemas.openxmlformats.org/officeDocument/2006/relationships" ref="K10" r:id="rId20"/>
    <hyperlink xmlns:r="http://schemas.openxmlformats.org/officeDocument/2006/relationships" ref="I11" r:id="rId21"/>
    <hyperlink xmlns:r="http://schemas.openxmlformats.org/officeDocument/2006/relationships" ref="J11" r:id="rId22"/>
    <hyperlink xmlns:r="http://schemas.openxmlformats.org/officeDocument/2006/relationships" ref="K11" r:id="rId23"/>
    <hyperlink xmlns:r="http://schemas.openxmlformats.org/officeDocument/2006/relationships" ref="I12" r:id="rId24"/>
    <hyperlink xmlns:r="http://schemas.openxmlformats.org/officeDocument/2006/relationships" ref="J12" r:id="rId25"/>
    <hyperlink xmlns:r="http://schemas.openxmlformats.org/officeDocument/2006/relationships" ref="K12" r:id="rId26"/>
    <hyperlink xmlns:r="http://schemas.openxmlformats.org/officeDocument/2006/relationships" ref="I13" r:id="rId27"/>
    <hyperlink xmlns:r="http://schemas.openxmlformats.org/officeDocument/2006/relationships" ref="J13" r:id="rId28"/>
    <hyperlink xmlns:r="http://schemas.openxmlformats.org/officeDocument/2006/relationships" ref="K13" r:id="rId29"/>
    <hyperlink xmlns:r="http://schemas.openxmlformats.org/officeDocument/2006/relationships" ref="I14" r:id="rId30"/>
    <hyperlink xmlns:r="http://schemas.openxmlformats.org/officeDocument/2006/relationships" ref="J14" r:id="rId31"/>
    <hyperlink xmlns:r="http://schemas.openxmlformats.org/officeDocument/2006/relationships" ref="K14" r:id="rId32"/>
    <hyperlink xmlns:r="http://schemas.openxmlformats.org/officeDocument/2006/relationships" ref="I15" r:id="rId33"/>
    <hyperlink xmlns:r="http://schemas.openxmlformats.org/officeDocument/2006/relationships" ref="J15" r:id="rId34"/>
    <hyperlink xmlns:r="http://schemas.openxmlformats.org/officeDocument/2006/relationships" ref="K15" r:id="rId35"/>
    <hyperlink xmlns:r="http://schemas.openxmlformats.org/officeDocument/2006/relationships" ref="I16" r:id="rId36"/>
    <hyperlink xmlns:r="http://schemas.openxmlformats.org/officeDocument/2006/relationships" ref="J16" r:id="rId37"/>
    <hyperlink xmlns:r="http://schemas.openxmlformats.org/officeDocument/2006/relationships" ref="K16" r:id="rId38"/>
    <hyperlink xmlns:r="http://schemas.openxmlformats.org/officeDocument/2006/relationships" ref="I17" r:id="rId39"/>
    <hyperlink xmlns:r="http://schemas.openxmlformats.org/officeDocument/2006/relationships" ref="J17" r:id="rId40"/>
    <hyperlink xmlns:r="http://schemas.openxmlformats.org/officeDocument/2006/relationships" ref="K17" r:id="rId41"/>
    <hyperlink xmlns:r="http://schemas.openxmlformats.org/officeDocument/2006/relationships" ref="I18" r:id="rId42"/>
    <hyperlink xmlns:r="http://schemas.openxmlformats.org/officeDocument/2006/relationships" ref="J18" r:id="rId43"/>
    <hyperlink xmlns:r="http://schemas.openxmlformats.org/officeDocument/2006/relationships" ref="K18" r:id="rId44"/>
    <hyperlink xmlns:r="http://schemas.openxmlformats.org/officeDocument/2006/relationships" ref="I19" r:id="rId45"/>
    <hyperlink xmlns:r="http://schemas.openxmlformats.org/officeDocument/2006/relationships" ref="J19" r:id="rId46"/>
    <hyperlink xmlns:r="http://schemas.openxmlformats.org/officeDocument/2006/relationships" ref="K19" r:id="rId47"/>
    <hyperlink xmlns:r="http://schemas.openxmlformats.org/officeDocument/2006/relationships" ref="I20" r:id="rId48"/>
    <hyperlink xmlns:r="http://schemas.openxmlformats.org/officeDocument/2006/relationships" ref="J20" r:id="rId49"/>
    <hyperlink xmlns:r="http://schemas.openxmlformats.org/officeDocument/2006/relationships" ref="K20" r:id="rId50"/>
    <hyperlink xmlns:r="http://schemas.openxmlformats.org/officeDocument/2006/relationships" ref="I21" r:id="rId51"/>
    <hyperlink xmlns:r="http://schemas.openxmlformats.org/officeDocument/2006/relationships" ref="J21" r:id="rId52"/>
    <hyperlink xmlns:r="http://schemas.openxmlformats.org/officeDocument/2006/relationships" ref="K21" r:id="rId53"/>
    <hyperlink xmlns:r="http://schemas.openxmlformats.org/officeDocument/2006/relationships" ref="I22" r:id="rId54"/>
    <hyperlink xmlns:r="http://schemas.openxmlformats.org/officeDocument/2006/relationships" ref="J22" r:id="rId55"/>
    <hyperlink xmlns:r="http://schemas.openxmlformats.org/officeDocument/2006/relationships" ref="K22" r:id="rId56"/>
    <hyperlink xmlns:r="http://schemas.openxmlformats.org/officeDocument/2006/relationships" ref="I23" r:id="rId57"/>
    <hyperlink xmlns:r="http://schemas.openxmlformats.org/officeDocument/2006/relationships" ref="J23" r:id="rId58"/>
    <hyperlink xmlns:r="http://schemas.openxmlformats.org/officeDocument/2006/relationships" ref="K23" r:id="rId59"/>
    <hyperlink xmlns:r="http://schemas.openxmlformats.org/officeDocument/2006/relationships" ref="I24" r:id="rId60"/>
    <hyperlink xmlns:r="http://schemas.openxmlformats.org/officeDocument/2006/relationships" ref="J24" r:id="rId61"/>
    <hyperlink xmlns:r="http://schemas.openxmlformats.org/officeDocument/2006/relationships" ref="K24" r:id="rId62"/>
    <hyperlink xmlns:r="http://schemas.openxmlformats.org/officeDocument/2006/relationships" ref="I25" r:id="rId63"/>
    <hyperlink xmlns:r="http://schemas.openxmlformats.org/officeDocument/2006/relationships" ref="J25" r:id="rId64"/>
    <hyperlink xmlns:r="http://schemas.openxmlformats.org/officeDocument/2006/relationships" ref="K25" r:id="rId65"/>
    <hyperlink xmlns:r="http://schemas.openxmlformats.org/officeDocument/2006/relationships" ref="I26" r:id="rId66"/>
    <hyperlink xmlns:r="http://schemas.openxmlformats.org/officeDocument/2006/relationships" ref="J26" r:id="rId67"/>
    <hyperlink xmlns:r="http://schemas.openxmlformats.org/officeDocument/2006/relationships" ref="K26" r:id="rId68"/>
    <hyperlink xmlns:r="http://schemas.openxmlformats.org/officeDocument/2006/relationships" ref="I27" r:id="rId69"/>
    <hyperlink xmlns:r="http://schemas.openxmlformats.org/officeDocument/2006/relationships" ref="J27" r:id="rId70"/>
    <hyperlink xmlns:r="http://schemas.openxmlformats.org/officeDocument/2006/relationships" ref="K27" r:id="rId71"/>
    <hyperlink xmlns:r="http://schemas.openxmlformats.org/officeDocument/2006/relationships" ref="I28" r:id="rId72"/>
    <hyperlink xmlns:r="http://schemas.openxmlformats.org/officeDocument/2006/relationships" ref="J28" r:id="rId73"/>
    <hyperlink xmlns:r="http://schemas.openxmlformats.org/officeDocument/2006/relationships" ref="K28" r:id="rId74"/>
    <hyperlink xmlns:r="http://schemas.openxmlformats.org/officeDocument/2006/relationships" ref="I29" r:id="rId75"/>
    <hyperlink xmlns:r="http://schemas.openxmlformats.org/officeDocument/2006/relationships" ref="J29" r:id="rId76"/>
    <hyperlink xmlns:r="http://schemas.openxmlformats.org/officeDocument/2006/relationships" ref="K29" r:id="rId77"/>
    <hyperlink xmlns:r="http://schemas.openxmlformats.org/officeDocument/2006/relationships" ref="I30" r:id="rId78"/>
    <hyperlink xmlns:r="http://schemas.openxmlformats.org/officeDocument/2006/relationships" ref="J30" r:id="rId79"/>
    <hyperlink xmlns:r="http://schemas.openxmlformats.org/officeDocument/2006/relationships" ref="K30" r:id="rId80"/>
    <hyperlink xmlns:r="http://schemas.openxmlformats.org/officeDocument/2006/relationships" ref="I31" r:id="rId81"/>
    <hyperlink xmlns:r="http://schemas.openxmlformats.org/officeDocument/2006/relationships" ref="J31" r:id="rId82"/>
    <hyperlink xmlns:r="http://schemas.openxmlformats.org/officeDocument/2006/relationships" ref="K31" r:id="rId83"/>
    <hyperlink xmlns:r="http://schemas.openxmlformats.org/officeDocument/2006/relationships" ref="I32" r:id="rId84"/>
    <hyperlink xmlns:r="http://schemas.openxmlformats.org/officeDocument/2006/relationships" ref="J32" r:id="rId85"/>
    <hyperlink xmlns:r="http://schemas.openxmlformats.org/officeDocument/2006/relationships" ref="K32" r:id="rId86"/>
    <hyperlink xmlns:r="http://schemas.openxmlformats.org/officeDocument/2006/relationships" ref="I33" r:id="rId87"/>
    <hyperlink xmlns:r="http://schemas.openxmlformats.org/officeDocument/2006/relationships" ref="J33" r:id="rId88"/>
    <hyperlink xmlns:r="http://schemas.openxmlformats.org/officeDocument/2006/relationships" ref="K33" r:id="rId89"/>
    <hyperlink xmlns:r="http://schemas.openxmlformats.org/officeDocument/2006/relationships" ref="I34" r:id="rId90"/>
    <hyperlink xmlns:r="http://schemas.openxmlformats.org/officeDocument/2006/relationships" ref="J34" r:id="rId91"/>
    <hyperlink xmlns:r="http://schemas.openxmlformats.org/officeDocument/2006/relationships" ref="K34" r:id="rId92"/>
    <hyperlink xmlns:r="http://schemas.openxmlformats.org/officeDocument/2006/relationships" ref="I35" r:id="rId93"/>
    <hyperlink xmlns:r="http://schemas.openxmlformats.org/officeDocument/2006/relationships" ref="J35" r:id="rId94"/>
    <hyperlink xmlns:r="http://schemas.openxmlformats.org/officeDocument/2006/relationships" ref="K35" r:id="rId95"/>
    <hyperlink xmlns:r="http://schemas.openxmlformats.org/officeDocument/2006/relationships" ref="I36" r:id="rId96"/>
    <hyperlink xmlns:r="http://schemas.openxmlformats.org/officeDocument/2006/relationships" ref="J36" r:id="rId97"/>
    <hyperlink xmlns:r="http://schemas.openxmlformats.org/officeDocument/2006/relationships" ref="K36" r:id="rId98"/>
    <hyperlink xmlns:r="http://schemas.openxmlformats.org/officeDocument/2006/relationships" ref="I37" r:id="rId99"/>
    <hyperlink xmlns:r="http://schemas.openxmlformats.org/officeDocument/2006/relationships" ref="J37" r:id="rId100"/>
    <hyperlink xmlns:r="http://schemas.openxmlformats.org/officeDocument/2006/relationships" ref="K37" r:id="rId101"/>
    <hyperlink xmlns:r="http://schemas.openxmlformats.org/officeDocument/2006/relationships" ref="I38" r:id="rId102"/>
    <hyperlink xmlns:r="http://schemas.openxmlformats.org/officeDocument/2006/relationships" ref="J38" r:id="rId103"/>
    <hyperlink xmlns:r="http://schemas.openxmlformats.org/officeDocument/2006/relationships" ref="K38" r:id="rId104"/>
    <hyperlink xmlns:r="http://schemas.openxmlformats.org/officeDocument/2006/relationships" ref="I39" r:id="rId105"/>
    <hyperlink xmlns:r="http://schemas.openxmlformats.org/officeDocument/2006/relationships" ref="J39" r:id="rId106"/>
    <hyperlink xmlns:r="http://schemas.openxmlformats.org/officeDocument/2006/relationships" ref="K39" r:id="rId107"/>
    <hyperlink xmlns:r="http://schemas.openxmlformats.org/officeDocument/2006/relationships" ref="I40" r:id="rId108"/>
    <hyperlink xmlns:r="http://schemas.openxmlformats.org/officeDocument/2006/relationships" ref="J40" r:id="rId109"/>
    <hyperlink xmlns:r="http://schemas.openxmlformats.org/officeDocument/2006/relationships" ref="K40" r:id="rId110"/>
    <hyperlink xmlns:r="http://schemas.openxmlformats.org/officeDocument/2006/relationships" ref="I41" r:id="rId111"/>
    <hyperlink xmlns:r="http://schemas.openxmlformats.org/officeDocument/2006/relationships" ref="J41" r:id="rId112"/>
    <hyperlink xmlns:r="http://schemas.openxmlformats.org/officeDocument/2006/relationships" ref="K41" r:id="rId113"/>
    <hyperlink xmlns:r="http://schemas.openxmlformats.org/officeDocument/2006/relationships" ref="I42" r:id="rId114"/>
    <hyperlink xmlns:r="http://schemas.openxmlformats.org/officeDocument/2006/relationships" ref="J42" r:id="rId115"/>
    <hyperlink xmlns:r="http://schemas.openxmlformats.org/officeDocument/2006/relationships" ref="K42" r:id="rId116"/>
    <hyperlink xmlns:r="http://schemas.openxmlformats.org/officeDocument/2006/relationships" ref="I43" r:id="rId117"/>
    <hyperlink xmlns:r="http://schemas.openxmlformats.org/officeDocument/2006/relationships" ref="J43" r:id="rId118"/>
    <hyperlink xmlns:r="http://schemas.openxmlformats.org/officeDocument/2006/relationships" ref="K43" r:id="rId119"/>
    <hyperlink xmlns:r="http://schemas.openxmlformats.org/officeDocument/2006/relationships" ref="I44" r:id="rId120"/>
    <hyperlink xmlns:r="http://schemas.openxmlformats.org/officeDocument/2006/relationships" ref="J44" r:id="rId121"/>
    <hyperlink xmlns:r="http://schemas.openxmlformats.org/officeDocument/2006/relationships" ref="K44" r:id="rId122"/>
    <hyperlink xmlns:r="http://schemas.openxmlformats.org/officeDocument/2006/relationships" ref="I45" r:id="rId123"/>
    <hyperlink xmlns:r="http://schemas.openxmlformats.org/officeDocument/2006/relationships" ref="J45" r:id="rId124"/>
    <hyperlink xmlns:r="http://schemas.openxmlformats.org/officeDocument/2006/relationships" ref="K45" r:id="rId125"/>
    <hyperlink xmlns:r="http://schemas.openxmlformats.org/officeDocument/2006/relationships" ref="I46" r:id="rId126"/>
    <hyperlink xmlns:r="http://schemas.openxmlformats.org/officeDocument/2006/relationships" ref="J46" r:id="rId127"/>
    <hyperlink xmlns:r="http://schemas.openxmlformats.org/officeDocument/2006/relationships" ref="K46" r:id="rId128"/>
    <hyperlink xmlns:r="http://schemas.openxmlformats.org/officeDocument/2006/relationships" ref="I47" r:id="rId129"/>
    <hyperlink xmlns:r="http://schemas.openxmlformats.org/officeDocument/2006/relationships" ref="J47" r:id="rId130"/>
    <hyperlink xmlns:r="http://schemas.openxmlformats.org/officeDocument/2006/relationships" ref="K47" r:id="rId131"/>
    <hyperlink xmlns:r="http://schemas.openxmlformats.org/officeDocument/2006/relationships" ref="I48" r:id="rId132"/>
    <hyperlink xmlns:r="http://schemas.openxmlformats.org/officeDocument/2006/relationships" ref="J48" r:id="rId133"/>
    <hyperlink xmlns:r="http://schemas.openxmlformats.org/officeDocument/2006/relationships" ref="K48" r:id="rId134"/>
    <hyperlink xmlns:r="http://schemas.openxmlformats.org/officeDocument/2006/relationships" ref="I49" r:id="rId135"/>
    <hyperlink xmlns:r="http://schemas.openxmlformats.org/officeDocument/2006/relationships" ref="J49" r:id="rId136"/>
    <hyperlink xmlns:r="http://schemas.openxmlformats.org/officeDocument/2006/relationships" ref="K49" r:id="rId137"/>
    <hyperlink xmlns:r="http://schemas.openxmlformats.org/officeDocument/2006/relationships" ref="I50" r:id="rId138"/>
    <hyperlink xmlns:r="http://schemas.openxmlformats.org/officeDocument/2006/relationships" ref="J50" r:id="rId139"/>
    <hyperlink xmlns:r="http://schemas.openxmlformats.org/officeDocument/2006/relationships" ref="K50" r:id="rId140"/>
    <hyperlink xmlns:r="http://schemas.openxmlformats.org/officeDocument/2006/relationships" ref="I51" r:id="rId141"/>
    <hyperlink xmlns:r="http://schemas.openxmlformats.org/officeDocument/2006/relationships" ref="J51" r:id="rId142"/>
    <hyperlink xmlns:r="http://schemas.openxmlformats.org/officeDocument/2006/relationships" ref="K51" r:id="rId143"/>
    <hyperlink xmlns:r="http://schemas.openxmlformats.org/officeDocument/2006/relationships" ref="I52" r:id="rId144"/>
    <hyperlink xmlns:r="http://schemas.openxmlformats.org/officeDocument/2006/relationships" ref="J52" r:id="rId145"/>
    <hyperlink xmlns:r="http://schemas.openxmlformats.org/officeDocument/2006/relationships" ref="K52" r:id="rId146"/>
    <hyperlink xmlns:r="http://schemas.openxmlformats.org/officeDocument/2006/relationships" ref="I53" r:id="rId147"/>
    <hyperlink xmlns:r="http://schemas.openxmlformats.org/officeDocument/2006/relationships" ref="J53" r:id="rId148"/>
    <hyperlink xmlns:r="http://schemas.openxmlformats.org/officeDocument/2006/relationships" ref="K53" r:id="rId149"/>
    <hyperlink xmlns:r="http://schemas.openxmlformats.org/officeDocument/2006/relationships" ref="I54" r:id="rId150"/>
    <hyperlink xmlns:r="http://schemas.openxmlformats.org/officeDocument/2006/relationships" ref="J54" r:id="rId151"/>
    <hyperlink xmlns:r="http://schemas.openxmlformats.org/officeDocument/2006/relationships" ref="K54" r:id="rId152"/>
    <hyperlink xmlns:r="http://schemas.openxmlformats.org/officeDocument/2006/relationships" ref="I55" r:id="rId153"/>
    <hyperlink xmlns:r="http://schemas.openxmlformats.org/officeDocument/2006/relationships" ref="J55" r:id="rId154"/>
    <hyperlink xmlns:r="http://schemas.openxmlformats.org/officeDocument/2006/relationships" ref="K55" r:id="rId155"/>
    <hyperlink xmlns:r="http://schemas.openxmlformats.org/officeDocument/2006/relationships" ref="I56" r:id="rId156"/>
    <hyperlink xmlns:r="http://schemas.openxmlformats.org/officeDocument/2006/relationships" ref="J56" r:id="rId157"/>
    <hyperlink xmlns:r="http://schemas.openxmlformats.org/officeDocument/2006/relationships" ref="K56" r:id="rId158"/>
    <hyperlink xmlns:r="http://schemas.openxmlformats.org/officeDocument/2006/relationships" ref="I57" r:id="rId159"/>
    <hyperlink xmlns:r="http://schemas.openxmlformats.org/officeDocument/2006/relationships" ref="J57" r:id="rId160"/>
    <hyperlink xmlns:r="http://schemas.openxmlformats.org/officeDocument/2006/relationships" ref="K57" r:id="rId161"/>
    <hyperlink xmlns:r="http://schemas.openxmlformats.org/officeDocument/2006/relationships" ref="I58" r:id="rId162"/>
    <hyperlink xmlns:r="http://schemas.openxmlformats.org/officeDocument/2006/relationships" ref="J58" r:id="rId163"/>
    <hyperlink xmlns:r="http://schemas.openxmlformats.org/officeDocument/2006/relationships" ref="K58" r:id="rId164"/>
    <hyperlink xmlns:r="http://schemas.openxmlformats.org/officeDocument/2006/relationships" ref="I59" r:id="rId165"/>
    <hyperlink xmlns:r="http://schemas.openxmlformats.org/officeDocument/2006/relationships" ref="J59" r:id="rId166"/>
    <hyperlink xmlns:r="http://schemas.openxmlformats.org/officeDocument/2006/relationships" ref="K59" r:id="rId167"/>
    <hyperlink xmlns:r="http://schemas.openxmlformats.org/officeDocument/2006/relationships" ref="I60" r:id="rId168"/>
    <hyperlink xmlns:r="http://schemas.openxmlformats.org/officeDocument/2006/relationships" ref="J60" r:id="rId169"/>
    <hyperlink xmlns:r="http://schemas.openxmlformats.org/officeDocument/2006/relationships" ref="K60" r:id="rId170"/>
    <hyperlink xmlns:r="http://schemas.openxmlformats.org/officeDocument/2006/relationships" ref="I61" r:id="rId171"/>
    <hyperlink xmlns:r="http://schemas.openxmlformats.org/officeDocument/2006/relationships" ref="J61" r:id="rId172"/>
    <hyperlink xmlns:r="http://schemas.openxmlformats.org/officeDocument/2006/relationships" ref="K61" r:id="rId173"/>
    <hyperlink xmlns:r="http://schemas.openxmlformats.org/officeDocument/2006/relationships" ref="I62" r:id="rId174"/>
    <hyperlink xmlns:r="http://schemas.openxmlformats.org/officeDocument/2006/relationships" ref="J62" r:id="rId175"/>
    <hyperlink xmlns:r="http://schemas.openxmlformats.org/officeDocument/2006/relationships" ref="K62" r:id="rId176"/>
    <hyperlink xmlns:r="http://schemas.openxmlformats.org/officeDocument/2006/relationships" ref="I63" r:id="rId177"/>
    <hyperlink xmlns:r="http://schemas.openxmlformats.org/officeDocument/2006/relationships" ref="J63" r:id="rId178"/>
    <hyperlink xmlns:r="http://schemas.openxmlformats.org/officeDocument/2006/relationships" ref="K63" r:id="rId179"/>
    <hyperlink xmlns:r="http://schemas.openxmlformats.org/officeDocument/2006/relationships" ref="I64" r:id="rId180"/>
    <hyperlink xmlns:r="http://schemas.openxmlformats.org/officeDocument/2006/relationships" ref="J64" r:id="rId181"/>
    <hyperlink xmlns:r="http://schemas.openxmlformats.org/officeDocument/2006/relationships" ref="K64" r:id="rId182"/>
    <hyperlink xmlns:r="http://schemas.openxmlformats.org/officeDocument/2006/relationships" ref="I65" r:id="rId183"/>
    <hyperlink xmlns:r="http://schemas.openxmlformats.org/officeDocument/2006/relationships" ref="J65" r:id="rId184"/>
    <hyperlink xmlns:r="http://schemas.openxmlformats.org/officeDocument/2006/relationships" ref="K65" r:id="rId185"/>
    <hyperlink xmlns:r="http://schemas.openxmlformats.org/officeDocument/2006/relationships" ref="I66" r:id="rId186"/>
    <hyperlink xmlns:r="http://schemas.openxmlformats.org/officeDocument/2006/relationships" ref="J66" r:id="rId187"/>
    <hyperlink xmlns:r="http://schemas.openxmlformats.org/officeDocument/2006/relationships" ref="K66" r:id="rId188"/>
    <hyperlink xmlns:r="http://schemas.openxmlformats.org/officeDocument/2006/relationships" ref="I67" r:id="rId189"/>
    <hyperlink xmlns:r="http://schemas.openxmlformats.org/officeDocument/2006/relationships" ref="J67" r:id="rId1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SideQuests Data Engineering</dc:creator>
  <dc:title xmlns:dc="http://purl.org/dc/elements/1.1/">SideQuests Miami Master</dc:title>
  <dc:subject xmlns:dc="http://purl.org/dc/elements/1.1/">Miami launch operational dashboard</dc:subject>
  <dcterms:created xmlns:dcterms="http://purl.org/dc/terms/" xmlns:xsi="http://www.w3.org/2001/XMLSchema-instance" xsi:type="dcterms:W3CDTF">2026-07-10T20:10:35Z</dcterms:created>
  <dcterms:modified xmlns:dcterms="http://purl.org/dc/terms/" xmlns:xsi="http://www.w3.org/2001/XMLSchema-instance" xsi:type="dcterms:W3CDTF">2026-07-10T20:10:36Z</dcterms:modified>
</cp:coreProperties>
</file>